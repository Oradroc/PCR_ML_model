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G:\My Drive\Clauset's Lab\"/>
    </mc:Choice>
  </mc:AlternateContent>
  <xr:revisionPtr revIDLastSave="0" documentId="13_ncr:1_{896ED7D1-C0F2-4687-8862-760177F283F4}" xr6:coauthVersionLast="41" xr6:coauthVersionMax="41" xr10:uidLastSave="{00000000-0000-0000-0000-000000000000}"/>
  <bookViews>
    <workbookView xWindow="-96" yWindow="-96" windowWidth="19392" windowHeight="10392" activeTab="2" xr2:uid="{00000000-000D-0000-FFFF-FFFF00000000}"/>
  </bookViews>
  <sheets>
    <sheet name="input" sheetId="1" r:id="rId1"/>
    <sheet name="validation" sheetId="3" state="hidden" r:id="rId2"/>
    <sheet name="collected_data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2" i="3" l="1"/>
  <c r="Q12" i="3"/>
  <c r="N12" i="3"/>
</calcChain>
</file>

<file path=xl/sharedStrings.xml><?xml version="1.0" encoding="utf-8"?>
<sst xmlns="http://schemas.openxmlformats.org/spreadsheetml/2006/main" count="136" uniqueCount="131">
  <si>
    <t>Species from which the template was derived</t>
  </si>
  <si>
    <t>Template DNA</t>
  </si>
  <si>
    <t>Primer units</t>
  </si>
  <si>
    <t>Band size units</t>
  </si>
  <si>
    <t>cDNA</t>
  </si>
  <si>
    <t>ng</t>
  </si>
  <si>
    <t>No bands</t>
  </si>
  <si>
    <t>Band at the right size</t>
  </si>
  <si>
    <t>Gene block</t>
  </si>
  <si>
    <t>Albert</t>
  </si>
  <si>
    <t>Curious George</t>
  </si>
  <si>
    <t>Donkey Kong</t>
  </si>
  <si>
    <t>Macaca mulatta</t>
  </si>
  <si>
    <t>gDNA</t>
  </si>
  <si>
    <t>Band(s) at the wrong size</t>
  </si>
  <si>
    <t>Plasmid</t>
  </si>
  <si>
    <t>h. sapiens</t>
  </si>
  <si>
    <t>m. musculus</t>
  </si>
  <si>
    <t>Species</t>
  </si>
  <si>
    <t>Your email address</t>
  </si>
  <si>
    <t>type of pcr</t>
  </si>
  <si>
    <t>Template</t>
  </si>
  <si>
    <t>Primers</t>
  </si>
  <si>
    <t>Polymerase</t>
  </si>
  <si>
    <t>Thermal Cycler ID</t>
  </si>
  <si>
    <t>Thermal cycler ID</t>
  </si>
  <si>
    <t>Evil Monkey</t>
  </si>
  <si>
    <t>ABU</t>
  </si>
  <si>
    <t>IR Baboon</t>
  </si>
  <si>
    <t>Mojo Jo Jo</t>
  </si>
  <si>
    <t>Nim</t>
  </si>
  <si>
    <t>Cycling parameters</t>
  </si>
  <si>
    <t>Approximate band size</t>
  </si>
  <si>
    <t>Temp °C</t>
  </si>
  <si>
    <t>Number of cycles</t>
  </si>
  <si>
    <t>Outcome</t>
  </si>
  <si>
    <t>Please ignore primer dimers.</t>
  </si>
  <si>
    <t>Template DNA selection</t>
  </si>
  <si>
    <t>Template response</t>
  </si>
  <si>
    <t>μg</t>
  </si>
  <si>
    <t>Primer unit selection</t>
  </si>
  <si>
    <t>Primer unit response</t>
  </si>
  <si>
    <t>bp</t>
  </si>
  <si>
    <t>kb</t>
  </si>
  <si>
    <t>Band size units selection</t>
  </si>
  <si>
    <t>Band size response</t>
  </si>
  <si>
    <t>Initial cycle</t>
  </si>
  <si>
    <t>Melting/denaturing</t>
  </si>
  <si>
    <t>Annealing</t>
  </si>
  <si>
    <t>Extension</t>
  </si>
  <si>
    <t>Final cycle</t>
  </si>
  <si>
    <t>Template added (ng)</t>
  </si>
  <si>
    <t>Primer 1 Sequence -- 5' to 3'</t>
  </si>
  <si>
    <t>Primer 2 Sequence -- 5' to 3'</t>
  </si>
  <si>
    <t>Amount</t>
  </si>
  <si>
    <t>General</t>
  </si>
  <si>
    <t>Years experience doing PCR</t>
  </si>
  <si>
    <t>timestamp</t>
  </si>
  <si>
    <t>user</t>
  </si>
  <si>
    <t>email</t>
  </si>
  <si>
    <t>species</t>
  </si>
  <si>
    <t>primer1</t>
  </si>
  <si>
    <t>primer2</t>
  </si>
  <si>
    <t>amtprimer1</t>
  </si>
  <si>
    <t>amtprimer2</t>
  </si>
  <si>
    <t>pcrid</t>
  </si>
  <si>
    <t>temp1</t>
  </si>
  <si>
    <t>cycles1</t>
  </si>
  <si>
    <t>melting_temp2</t>
  </si>
  <si>
    <t>annealing_temp2</t>
  </si>
  <si>
    <t>extension_temp2</t>
  </si>
  <si>
    <t>cycles2</t>
  </si>
  <si>
    <t>temp3</t>
  </si>
  <si>
    <t>cycles3</t>
  </si>
  <si>
    <t>band_size</t>
  </si>
  <si>
    <t>dna_amt</t>
  </si>
  <si>
    <t>template_type</t>
  </si>
  <si>
    <t>dna_amt_units</t>
  </si>
  <si>
    <t>wrong_bands</t>
  </si>
  <si>
    <t>right_band</t>
  </si>
  <si>
    <t>no_bands</t>
  </si>
  <si>
    <t>band_size_units</t>
  </si>
  <si>
    <t>min</t>
  </si>
  <si>
    <t>sec</t>
  </si>
  <si>
    <t>Polymerase name</t>
  </si>
  <si>
    <t>Company/Brand</t>
  </si>
  <si>
    <t>Catalog number</t>
  </si>
  <si>
    <t>polymerase name</t>
  </si>
  <si>
    <t>brand</t>
  </si>
  <si>
    <t>catalog number</t>
  </si>
  <si>
    <t>M0491S</t>
  </si>
  <si>
    <t>R010A</t>
  </si>
  <si>
    <t>M0531S</t>
  </si>
  <si>
    <t>M0323S</t>
  </si>
  <si>
    <t>Invitrogen</t>
  </si>
  <si>
    <t>Platinum PCR SuperMix High Fidelity</t>
  </si>
  <si>
    <t>NEB</t>
  </si>
  <si>
    <t>Q5 High-Fidelity DNA Polymerase</t>
  </si>
  <si>
    <t>PrimeSTAR HS DNA Polymerase</t>
  </si>
  <si>
    <t>Takara</t>
  </si>
  <si>
    <t>Phusion High-Fidelity PCR Master Mix with HF Buffer</t>
  </si>
  <si>
    <t>LongAmp Taq DNA Polymerase</t>
  </si>
  <si>
    <t>PCR reactions - October</t>
  </si>
  <si>
    <t>t1_min</t>
  </si>
  <si>
    <t>melting_t2_min</t>
  </si>
  <si>
    <t>annealing_t2_min</t>
  </si>
  <si>
    <t>extension_t2_min</t>
  </si>
  <si>
    <t>t3_min</t>
  </si>
  <si>
    <t>t1_sec</t>
  </si>
  <si>
    <t>t5_sec</t>
  </si>
  <si>
    <t>melting_t2_sec</t>
  </si>
  <si>
    <t>annealing_t2_sec</t>
  </si>
  <si>
    <t>polymerase_brand</t>
  </si>
  <si>
    <t>polymerase_name</t>
  </si>
  <si>
    <t>polymerase_catalog_number</t>
  </si>
  <si>
    <t>Select all that apply.</t>
  </si>
  <si>
    <t>Notes on reaction (optional)</t>
  </si>
  <si>
    <t>For example: do you know why the reaction failed?</t>
  </si>
  <si>
    <t>If your polymerase comes with multiple buffers, which one did you use? (Optional)</t>
  </si>
  <si>
    <t>dmso_amount</t>
  </si>
  <si>
    <t>buffer</t>
  </si>
  <si>
    <t>notes</t>
  </si>
  <si>
    <t>(Optional)</t>
  </si>
  <si>
    <t>%DMSO in reaction</t>
  </si>
  <si>
    <t>Customized salts</t>
  </si>
  <si>
    <t>customized_salts</t>
  </si>
  <si>
    <t>alison's</t>
  </si>
  <si>
    <t>GCAAAGACCTTTCAAGGCCAGG</t>
  </si>
  <si>
    <t>CCCAGGTCTCTGCCTTCC</t>
  </si>
  <si>
    <t>aotus azarae</t>
  </si>
  <si>
    <t>extension_t2_sec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</si>
</sst>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mm/dd/yyyy\ hh:mm:ss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theme="1"/>
      <name val="Calibri Light"/>
      <family val="2"/>
      <scheme val="major"/>
    </font>
    <font>
      <b/>
      <sz val="14"/>
      <color rgb="FFCFB87C"/>
      <name val="Arial"/>
      <family val="2"/>
    </font>
    <font>
      <b/>
      <sz val="14"/>
      <color theme="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rgb="FFCFB87C"/>
      <name val="Calibri Light"/>
      <family val="2"/>
      <scheme val="major"/>
    </font>
    <font>
      <i/>
      <u/>
      <sz val="11"/>
      <color rgb="FFCFB87C"/>
      <name val="Calibri"/>
      <family val="2"/>
      <scheme val="minor"/>
    </font>
    <font>
      <i/>
      <u/>
      <sz val="10"/>
      <color rgb="FFCFB87C"/>
      <name val="Calibri"/>
      <family val="2"/>
      <scheme val="minor"/>
    </font>
    <font>
      <sz val="9"/>
      <color theme="1"/>
      <name val="Calibri Light"/>
      <family val="2"/>
      <scheme val="major"/>
    </font>
    <font>
      <sz val="9"/>
      <color theme="1"/>
      <name val="Courier New"/>
      <family val="3"/>
    </font>
    <font>
      <sz val="8"/>
      <color theme="1"/>
      <name val="Calibri Light"/>
      <family val="2"/>
      <scheme val="major"/>
    </font>
    <font>
      <sz val="10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rgb="FFA2A4A3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2A4A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565A5C"/>
        <bgColor indexed="64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Border="1" applyAlignment="1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/>
    </xf>
    <xf numFmtId="1" fontId="0" fillId="0" borderId="0" xfId="0" applyNumberFormat="1"/>
    <xf numFmtId="165" fontId="0" fillId="0" borderId="0" xfId="0" applyNumberFormat="1"/>
    <xf numFmtId="164" fontId="0" fillId="0" borderId="0" xfId="0" applyNumberFormat="1"/>
    <xf numFmtId="21" fontId="0" fillId="0" borderId="0" xfId="0" applyNumberFormat="1"/>
    <xf numFmtId="0" fontId="0" fillId="0" borderId="0" xfId="0" applyNumberFormat="1"/>
    <xf numFmtId="0" fontId="4" fillId="5" borderId="0" xfId="0" applyFont="1" applyFill="1"/>
    <xf numFmtId="0" fontId="5" fillId="5" borderId="0" xfId="0" applyFont="1" applyFill="1"/>
    <xf numFmtId="0" fontId="6" fillId="5" borderId="0" xfId="0" applyFont="1" applyFill="1"/>
    <xf numFmtId="0" fontId="7" fillId="5" borderId="0" xfId="0" applyFont="1" applyFill="1" applyBorder="1" applyAlignment="1">
      <alignment wrapText="1"/>
    </xf>
    <xf numFmtId="0" fontId="4" fillId="6" borderId="0" xfId="0" applyFont="1" applyFill="1"/>
    <xf numFmtId="0" fontId="4" fillId="2" borderId="0" xfId="0" applyFont="1" applyFill="1"/>
    <xf numFmtId="0" fontId="8" fillId="2" borderId="0" xfId="0" applyFont="1" applyFill="1"/>
    <xf numFmtId="0" fontId="9" fillId="5" borderId="0" xfId="0" applyFont="1" applyFill="1"/>
    <xf numFmtId="0" fontId="9" fillId="6" borderId="0" xfId="0" applyFont="1" applyFill="1"/>
    <xf numFmtId="0" fontId="4" fillId="2" borderId="0" xfId="0" applyFont="1" applyFill="1" applyBorder="1"/>
    <xf numFmtId="0" fontId="9" fillId="2" borderId="0" xfId="0" applyFont="1" applyFill="1" applyBorder="1"/>
    <xf numFmtId="0" fontId="4" fillId="6" borderId="0" xfId="0" applyFont="1" applyFill="1" applyBorder="1"/>
    <xf numFmtId="0" fontId="4" fillId="5" borderId="0" xfId="0" applyFont="1" applyFill="1" applyBorder="1"/>
    <xf numFmtId="0" fontId="9" fillId="2" borderId="11" xfId="0" applyFont="1" applyFill="1" applyBorder="1" applyAlignment="1">
      <alignment horizontal="left" vertical="center"/>
    </xf>
    <xf numFmtId="0" fontId="9" fillId="5" borderId="11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/>
    </xf>
    <xf numFmtId="0" fontId="11" fillId="6" borderId="0" xfId="0" applyFont="1" applyFill="1" applyBorder="1" applyAlignment="1">
      <alignment horizontal="left"/>
    </xf>
    <xf numFmtId="0" fontId="11" fillId="5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4" borderId="0" xfId="0" applyFont="1" applyFill="1" applyBorder="1"/>
    <xf numFmtId="0" fontId="11" fillId="4" borderId="0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/>
    <xf numFmtId="0" fontId="8" fillId="4" borderId="0" xfId="0" applyFont="1" applyFill="1"/>
    <xf numFmtId="0" fontId="11" fillId="4" borderId="0" xfId="0" applyFont="1" applyFill="1"/>
    <xf numFmtId="0" fontId="11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/>
    <xf numFmtId="0" fontId="4" fillId="6" borderId="0" xfId="0" applyFont="1" applyFill="1" applyBorder="1" applyAlignment="1"/>
    <xf numFmtId="1" fontId="4" fillId="4" borderId="0" xfId="0" applyNumberFormat="1" applyFont="1" applyFill="1" applyBorder="1" applyAlignment="1">
      <alignment horizontal="center" vertical="center"/>
    </xf>
    <xf numFmtId="1" fontId="4" fillId="6" borderId="0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>
      <alignment vertical="top" wrapText="1"/>
    </xf>
    <xf numFmtId="0" fontId="4" fillId="6" borderId="0" xfId="0" applyFont="1" applyFill="1" applyBorder="1" applyAlignment="1">
      <alignment vertical="top" wrapText="1"/>
    </xf>
    <xf numFmtId="1" fontId="4" fillId="4" borderId="0" xfId="0" applyNumberFormat="1" applyFont="1" applyFill="1" applyBorder="1"/>
    <xf numFmtId="0" fontId="7" fillId="4" borderId="0" xfId="0" applyFont="1" applyFill="1" applyBorder="1" applyAlignment="1">
      <alignment wrapText="1"/>
    </xf>
    <xf numFmtId="0" fontId="11" fillId="4" borderId="0" xfId="0" applyFont="1" applyFill="1" applyBorder="1" applyAlignment="1">
      <alignment wrapText="1"/>
    </xf>
    <xf numFmtId="0" fontId="7" fillId="6" borderId="0" xfId="0" applyFont="1" applyFill="1" applyBorder="1" applyAlignment="1">
      <alignment wrapText="1"/>
    </xf>
    <xf numFmtId="0" fontId="4" fillId="4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7" fillId="6" borderId="0" xfId="0" applyFont="1" applyFill="1" applyBorder="1" applyAlignment="1">
      <alignment vertical="center" wrapText="1"/>
    </xf>
    <xf numFmtId="0" fontId="8" fillId="5" borderId="0" xfId="0" applyFont="1" applyFill="1"/>
    <xf numFmtId="0" fontId="8" fillId="5" borderId="0" xfId="0" applyFont="1" applyFill="1" applyBorder="1" applyAlignment="1">
      <alignment horizontal="center"/>
    </xf>
    <xf numFmtId="0" fontId="9" fillId="2" borderId="0" xfId="0" applyFont="1" applyFill="1"/>
    <xf numFmtId="0" fontId="9" fillId="5" borderId="0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/>
    </xf>
    <xf numFmtId="0" fontId="10" fillId="2" borderId="11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/>
    <xf numFmtId="0" fontId="13" fillId="4" borderId="0" xfId="0" applyFont="1" applyFill="1"/>
    <xf numFmtId="0" fontId="7" fillId="4" borderId="0" xfId="0" applyFont="1" applyFill="1" applyBorder="1" applyAlignment="1">
      <alignment vertical="center" wrapText="1"/>
    </xf>
    <xf numFmtId="0" fontId="11" fillId="4" borderId="14" xfId="0" applyFont="1" applyFill="1" applyBorder="1" applyAlignment="1">
      <alignment horizontal="right" vertical="center"/>
    </xf>
    <xf numFmtId="0" fontId="7" fillId="3" borderId="2" xfId="0" applyFont="1" applyFill="1" applyBorder="1" applyAlignment="1" applyProtection="1">
      <alignment horizontal="center" vertical="center" wrapText="1"/>
      <protection locked="0"/>
    </xf>
    <xf numFmtId="0" fontId="11" fillId="4" borderId="0" xfId="0" applyFont="1" applyFill="1" applyAlignment="1">
      <alignment horizontal="left" vertical="center"/>
    </xf>
    <xf numFmtId="0" fontId="4" fillId="6" borderId="0" xfId="0" applyFont="1" applyFill="1" applyBorder="1" applyAlignment="1">
      <alignment vertical="top"/>
    </xf>
    <xf numFmtId="0" fontId="4" fillId="4" borderId="0" xfId="0" applyFont="1" applyFill="1" applyBorder="1" applyAlignment="1">
      <alignment vertical="top"/>
    </xf>
    <xf numFmtId="0" fontId="11" fillId="4" borderId="14" xfId="0" applyFont="1" applyFill="1" applyBorder="1" applyAlignment="1">
      <alignment horizontal="right"/>
    </xf>
    <xf numFmtId="0" fontId="7" fillId="3" borderId="10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right" wrapText="1"/>
    </xf>
    <xf numFmtId="0" fontId="7" fillId="3" borderId="15" xfId="0" applyFont="1" applyFill="1" applyBorder="1" applyAlignment="1" applyProtection="1">
      <alignment horizontal="center" vertical="center" wrapText="1"/>
      <protection locked="0"/>
    </xf>
    <xf numFmtId="0" fontId="7" fillId="3" borderId="16" xfId="0" applyFont="1" applyFill="1" applyBorder="1" applyAlignment="1" applyProtection="1">
      <alignment horizontal="center" vertical="center" wrapText="1"/>
      <protection locked="0"/>
    </xf>
    <xf numFmtId="0" fontId="11" fillId="4" borderId="0" xfId="0" applyFont="1" applyFill="1" applyAlignment="1">
      <alignment horizontal="right"/>
    </xf>
    <xf numFmtId="2" fontId="4" fillId="6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14" fillId="4" borderId="0" xfId="0" applyFont="1" applyFill="1" applyBorder="1" applyAlignment="1">
      <alignment horizontal="center" vertical="center" wrapText="1"/>
    </xf>
    <xf numFmtId="21" fontId="7" fillId="4" borderId="0" xfId="0" applyNumberFormat="1" applyFont="1" applyFill="1" applyBorder="1" applyAlignment="1" applyProtection="1">
      <alignment vertical="center" wrapText="1"/>
      <protection locked="0"/>
    </xf>
    <xf numFmtId="1" fontId="7" fillId="3" borderId="2" xfId="0" applyNumberFormat="1" applyFont="1" applyFill="1" applyBorder="1" applyAlignment="1" applyProtection="1">
      <alignment vertical="center" wrapText="1"/>
      <protection locked="0"/>
    </xf>
    <xf numFmtId="1" fontId="7" fillId="3" borderId="16" xfId="0" applyNumberFormat="1" applyFont="1" applyFill="1" applyBorder="1" applyAlignment="1" applyProtection="1">
      <alignment vertical="center" wrapText="1"/>
      <protection locked="0"/>
    </xf>
    <xf numFmtId="0" fontId="11" fillId="4" borderId="0" xfId="0" applyFont="1" applyFill="1" applyBorder="1" applyAlignment="1"/>
    <xf numFmtId="0" fontId="11" fillId="4" borderId="6" xfId="0" applyFont="1" applyFill="1" applyBorder="1" applyAlignment="1"/>
    <xf numFmtId="0" fontId="11" fillId="4" borderId="6" xfId="0" applyFont="1" applyFill="1" applyBorder="1" applyAlignment="1">
      <alignment horizontal="center" vertical="center"/>
    </xf>
    <xf numFmtId="0" fontId="11" fillId="4" borderId="0" xfId="0" applyFont="1" applyFill="1" applyBorder="1" applyAlignment="1" applyProtection="1">
      <alignment vertical="top" wrapText="1"/>
      <protection locked="0"/>
    </xf>
    <xf numFmtId="0" fontId="11" fillId="0" borderId="2" xfId="0" applyFont="1" applyFill="1" applyBorder="1" applyAlignment="1" applyProtection="1">
      <alignment vertical="top" wrapText="1"/>
      <protection locked="0"/>
    </xf>
    <xf numFmtId="0" fontId="11" fillId="3" borderId="2" xfId="0" applyFont="1" applyFill="1" applyBorder="1" applyAlignment="1" applyProtection="1">
      <alignment horizontal="left" vertical="top" wrapText="1"/>
      <protection locked="0"/>
    </xf>
    <xf numFmtId="0" fontId="16" fillId="4" borderId="0" xfId="0" applyFont="1" applyFill="1"/>
    <xf numFmtId="0" fontId="16" fillId="4" borderId="0" xfId="0" applyFont="1" applyFill="1" applyBorder="1" applyAlignment="1">
      <alignment vertical="top"/>
    </xf>
    <xf numFmtId="0" fontId="10" fillId="5" borderId="0" xfId="0" applyFont="1" applyFill="1" applyBorder="1" applyAlignment="1">
      <alignment vertical="center" wrapText="1"/>
    </xf>
    <xf numFmtId="0" fontId="9" fillId="5" borderId="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left" wrapText="1"/>
    </xf>
    <xf numFmtId="0" fontId="4" fillId="3" borderId="2" xfId="0" applyFont="1" applyFill="1" applyBorder="1" applyAlignment="1">
      <alignment horizontal="left"/>
    </xf>
    <xf numFmtId="0" fontId="11" fillId="4" borderId="6" xfId="0" applyFont="1" applyFill="1" applyBorder="1" applyAlignment="1">
      <alignment horizontal="left"/>
    </xf>
    <xf numFmtId="0" fontId="15" fillId="0" borderId="2" xfId="1" applyFill="1" applyBorder="1" applyProtection="1">
      <protection locked="0"/>
    </xf>
    <xf numFmtId="0" fontId="4" fillId="0" borderId="2" xfId="0" applyFont="1" applyFill="1" applyBorder="1" applyProtection="1">
      <protection locked="0"/>
    </xf>
    <xf numFmtId="0" fontId="4" fillId="3" borderId="2" xfId="0" applyFont="1" applyFill="1" applyBorder="1" applyAlignment="1" applyProtection="1">
      <alignment horizontal="left"/>
      <protection locked="0"/>
    </xf>
    <xf numFmtId="1" fontId="4" fillId="0" borderId="8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>
      <alignment horizontal="center"/>
    </xf>
    <xf numFmtId="0" fontId="12" fillId="0" borderId="8" xfId="0" applyFont="1" applyFill="1" applyBorder="1" applyAlignment="1" applyProtection="1">
      <alignment horizontal="left" vertical="center" wrapText="1"/>
      <protection locked="0"/>
    </xf>
    <xf numFmtId="0" fontId="12" fillId="0" borderId="13" xfId="0" applyFont="1" applyFill="1" applyBorder="1" applyAlignment="1" applyProtection="1">
      <alignment horizontal="left" vertical="center"/>
      <protection locked="0"/>
    </xf>
    <xf numFmtId="0" fontId="12" fillId="0" borderId="9" xfId="0" applyFont="1" applyFill="1" applyBorder="1" applyAlignment="1" applyProtection="1">
      <alignment horizontal="left" vertical="center"/>
      <protection locked="0"/>
    </xf>
    <xf numFmtId="0" fontId="14" fillId="0" borderId="8" xfId="0" applyFont="1" applyFill="1" applyBorder="1" applyAlignment="1" applyProtection="1">
      <alignment horizontal="center" vertical="center" wrapText="1"/>
      <protection locked="0"/>
    </xf>
    <xf numFmtId="0" fontId="14" fillId="0" borderId="13" xfId="0" applyFont="1" applyFill="1" applyBorder="1" applyAlignment="1" applyProtection="1">
      <alignment horizontal="center" vertical="center" wrapText="1"/>
      <protection locked="0"/>
    </xf>
    <xf numFmtId="0" fontId="14" fillId="0" borderId="9" xfId="0" applyFont="1" applyFill="1" applyBorder="1" applyAlignment="1" applyProtection="1">
      <alignment horizontal="center" vertical="center" wrapText="1"/>
      <protection locked="0"/>
    </xf>
    <xf numFmtId="0" fontId="11" fillId="4" borderId="6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 applyProtection="1">
      <alignment horizontal="center" vertical="center" wrapText="1"/>
      <protection locked="0"/>
    </xf>
    <xf numFmtId="0" fontId="7" fillId="3" borderId="7" xfId="0" applyFont="1" applyFill="1" applyBorder="1" applyAlignment="1" applyProtection="1">
      <alignment horizontal="center" vertical="center" wrapText="1"/>
      <protection locked="0"/>
    </xf>
    <xf numFmtId="0" fontId="7" fillId="3" borderId="12" xfId="0" applyFont="1" applyFill="1" applyBorder="1" applyAlignment="1" applyProtection="1">
      <alignment horizontal="center" vertical="center" wrapText="1"/>
      <protection locked="0"/>
    </xf>
    <xf numFmtId="0" fontId="7" fillId="3" borderId="14" xfId="0" applyFont="1" applyFill="1" applyBorder="1" applyAlignment="1" applyProtection="1">
      <alignment horizontal="center" vertical="center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0" xfId="0" applyFont="1" applyFill="1" applyBorder="1" applyAlignment="1">
      <alignment horizontal="left" vertical="top"/>
    </xf>
    <xf numFmtId="0" fontId="4" fillId="3" borderId="15" xfId="0" applyFont="1" applyFill="1" applyBorder="1" applyAlignment="1">
      <alignment horizontal="left" vertical="top"/>
    </xf>
    <xf numFmtId="0" fontId="4" fillId="3" borderId="16" xfId="0" applyFont="1" applyFill="1" applyBorder="1" applyAlignment="1">
      <alignment horizontal="left" vertical="top"/>
    </xf>
    <xf numFmtId="0" fontId="11" fillId="4" borderId="0" xfId="0" applyFont="1" applyFill="1" applyBorder="1" applyAlignment="1" applyProtection="1">
      <alignment horizontal="left" wrapText="1"/>
      <protection locked="0"/>
    </xf>
    <xf numFmtId="0" fontId="11" fillId="4" borderId="0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6" xfId="0" applyFont="1" applyFill="1" applyBorder="1" applyAlignment="1">
      <alignment horizontal="left" wrapText="1"/>
    </xf>
    <xf numFmtId="0" fontId="12" fillId="0" borderId="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2A4A3"/>
      <color rgb="FFE9E9E9"/>
      <color rgb="FF565A5C"/>
      <color rgb="FF000000"/>
      <color rgb="FFCFB87C"/>
      <color rgb="FF325868"/>
      <color rgb="FF239688"/>
      <color rgb="FFCCCCCC"/>
      <color rgb="FF008584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validation!$N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pin" dx="31" fmlaLink="$T$10" max="30000" page="10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validation!$Q$9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Spin" dx="31" fmlaLink="$T$12" inc="0" max="30000" page="10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Spin" dx="31" fmlaLink="$G$10" max="30000" page="10" val="10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checked="Checked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checked="Checked" firstButton="1" fmlaLink="validation!$T$9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CheckBox" fmlaLink="validation!$V$3" lockText="1" noThreeD="1"/>
</file>

<file path=xl/ctrlProps/ctrlProp24.xml><?xml version="1.0" encoding="utf-8"?>
<formControlPr xmlns="http://schemas.microsoft.com/office/spreadsheetml/2009/9/main" objectType="CheckBox" checked="Checked" fmlaLink="validation!$V$6" lockText="1" noThreeD="1"/>
</file>

<file path=xl/ctrlProps/ctrlProp25.xml><?xml version="1.0" encoding="utf-8"?>
<formControlPr xmlns="http://schemas.microsoft.com/office/spreadsheetml/2009/9/main" objectType="CheckBox" fmlaLink="validation!$V$9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CheckBox" fmlaLink="validation!$X$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21</xdr:row>
          <xdr:rowOff>76200</xdr:rowOff>
        </xdr:from>
        <xdr:to>
          <xdr:col>4</xdr:col>
          <xdr:colOff>457200</xdr:colOff>
          <xdr:row>22</xdr:row>
          <xdr:rowOff>64770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cDNA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22</xdr:row>
          <xdr:rowOff>38100</xdr:rowOff>
        </xdr:from>
        <xdr:to>
          <xdr:col>4</xdr:col>
          <xdr:colOff>457200</xdr:colOff>
          <xdr:row>23</xdr:row>
          <xdr:rowOff>49530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gDNA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20</xdr:row>
          <xdr:rowOff>102870</xdr:rowOff>
        </xdr:from>
        <xdr:to>
          <xdr:col>5</xdr:col>
          <xdr:colOff>102870</xdr:colOff>
          <xdr:row>25</xdr:row>
          <xdr:rowOff>87630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Template DNA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23</xdr:row>
          <xdr:rowOff>38100</xdr:rowOff>
        </xdr:from>
        <xdr:to>
          <xdr:col>4</xdr:col>
          <xdr:colOff>521970</xdr:colOff>
          <xdr:row>24</xdr:row>
          <xdr:rowOff>26670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Plasmid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23</xdr:row>
          <xdr:rowOff>179070</xdr:rowOff>
        </xdr:from>
        <xdr:to>
          <xdr:col>4</xdr:col>
          <xdr:colOff>571500</xdr:colOff>
          <xdr:row>25</xdr:row>
          <xdr:rowOff>38100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</xdr:colOff>
          <xdr:row>8</xdr:row>
          <xdr:rowOff>179070</xdr:rowOff>
        </xdr:from>
        <xdr:to>
          <xdr:col>20</xdr:col>
          <xdr:colOff>179070</xdr:colOff>
          <xdr:row>9</xdr:row>
          <xdr:rowOff>179070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228600</xdr:colOff>
          <xdr:row>8</xdr:row>
          <xdr:rowOff>152400</xdr:rowOff>
        </xdr:from>
        <xdr:to>
          <xdr:col>21</xdr:col>
          <xdr:colOff>114300</xdr:colOff>
          <xdr:row>11</xdr:row>
          <xdr:rowOff>179070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293370</xdr:colOff>
          <xdr:row>10</xdr:row>
          <xdr:rowOff>64770</xdr:rowOff>
        </xdr:from>
        <xdr:to>
          <xdr:col>21</xdr:col>
          <xdr:colOff>49530</xdr:colOff>
          <xdr:row>11</xdr:row>
          <xdr:rowOff>114300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293370</xdr:colOff>
          <xdr:row>9</xdr:row>
          <xdr:rowOff>102870</xdr:rowOff>
        </xdr:from>
        <xdr:to>
          <xdr:col>21</xdr:col>
          <xdr:colOff>87630</xdr:colOff>
          <xdr:row>10</xdr:row>
          <xdr:rowOff>140970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μM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</xdr:colOff>
          <xdr:row>11</xdr:row>
          <xdr:rowOff>0</xdr:rowOff>
        </xdr:from>
        <xdr:to>
          <xdr:col>20</xdr:col>
          <xdr:colOff>190500</xdr:colOff>
          <xdr:row>12</xdr:row>
          <xdr:rowOff>11430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26670</xdr:colOff>
          <xdr:row>29</xdr:row>
          <xdr:rowOff>125730</xdr:rowOff>
        </xdr:to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</xdr:colOff>
          <xdr:row>9</xdr:row>
          <xdr:rowOff>0</xdr:rowOff>
        </xdr:from>
        <xdr:to>
          <xdr:col>8</xdr:col>
          <xdr:colOff>179070</xdr:colOff>
          <xdr:row>10</xdr:row>
          <xdr:rowOff>11430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76200</xdr:rowOff>
        </xdr:from>
        <xdr:to>
          <xdr:col>9</xdr:col>
          <xdr:colOff>38100</xdr:colOff>
          <xdr:row>12</xdr:row>
          <xdr:rowOff>76200</xdr:rowOff>
        </xdr:to>
        <xdr:sp macro="" textlink="">
          <xdr:nvSpPr>
            <xdr:cNvPr id="1047" name="Group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Type of PCR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11</xdr:row>
          <xdr:rowOff>26670</xdr:rowOff>
        </xdr:from>
        <xdr:to>
          <xdr:col>3</xdr:col>
          <xdr:colOff>64770</xdr:colOff>
          <xdr:row>12</xdr:row>
          <xdr:rowOff>64770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Standard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11</xdr:row>
          <xdr:rowOff>64770</xdr:rowOff>
        </xdr:from>
        <xdr:to>
          <xdr:col>4</xdr:col>
          <xdr:colOff>76200</xdr:colOff>
          <xdr:row>12</xdr:row>
          <xdr:rowOff>49530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Gradient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76200</xdr:rowOff>
        </xdr:from>
        <xdr:to>
          <xdr:col>4</xdr:col>
          <xdr:colOff>190500</xdr:colOff>
          <xdr:row>11</xdr:row>
          <xdr:rowOff>102870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Colony PCR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201930</xdr:colOff>
          <xdr:row>10</xdr:row>
          <xdr:rowOff>87630</xdr:rowOff>
        </xdr:from>
        <xdr:to>
          <xdr:col>6</xdr:col>
          <xdr:colOff>152400</xdr:colOff>
          <xdr:row>11</xdr:row>
          <xdr:rowOff>125730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Mutagenesis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125730</xdr:colOff>
          <xdr:row>10</xdr:row>
          <xdr:rowOff>102870</xdr:rowOff>
        </xdr:from>
        <xdr:to>
          <xdr:col>8</xdr:col>
          <xdr:colOff>430530</xdr:colOff>
          <xdr:row>11</xdr:row>
          <xdr:rowOff>102870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Multiplex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125730</xdr:colOff>
          <xdr:row>11</xdr:row>
          <xdr:rowOff>49530</xdr:rowOff>
        </xdr:from>
        <xdr:to>
          <xdr:col>8</xdr:col>
          <xdr:colOff>369570</xdr:colOff>
          <xdr:row>12</xdr:row>
          <xdr:rowOff>64770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24</xdr:row>
          <xdr:rowOff>64770</xdr:rowOff>
        </xdr:from>
        <xdr:to>
          <xdr:col>3</xdr:col>
          <xdr:colOff>369570</xdr:colOff>
          <xdr:row>25</xdr:row>
          <xdr:rowOff>140970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 size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</xdr:colOff>
          <xdr:row>24</xdr:row>
          <xdr:rowOff>125730</xdr:rowOff>
        </xdr:from>
        <xdr:to>
          <xdr:col>2</xdr:col>
          <xdr:colOff>582930</xdr:colOff>
          <xdr:row>25</xdr:row>
          <xdr:rowOff>163830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140970</xdr:rowOff>
        </xdr:from>
        <xdr:to>
          <xdr:col>3</xdr:col>
          <xdr:colOff>457200</xdr:colOff>
          <xdr:row>25</xdr:row>
          <xdr:rowOff>163830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102870</xdr:colOff>
          <xdr:row>19</xdr:row>
          <xdr:rowOff>179070</xdr:rowOff>
        </xdr:from>
        <xdr:to>
          <xdr:col>24</xdr:col>
          <xdr:colOff>76200</xdr:colOff>
          <xdr:row>21</xdr:row>
          <xdr:rowOff>26670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Band(s) at the wrong size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102870</xdr:colOff>
          <xdr:row>20</xdr:row>
          <xdr:rowOff>179070</xdr:rowOff>
        </xdr:from>
        <xdr:to>
          <xdr:col>23</xdr:col>
          <xdr:colOff>114300</xdr:colOff>
          <xdr:row>22</xdr:row>
          <xdr:rowOff>49530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 at the right size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102870</xdr:colOff>
          <xdr:row>21</xdr:row>
          <xdr:rowOff>179070</xdr:rowOff>
        </xdr:from>
        <xdr:to>
          <xdr:col>20</xdr:col>
          <xdr:colOff>293370</xdr:colOff>
          <xdr:row>23</xdr:row>
          <xdr:rowOff>38100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bands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23</xdr:row>
          <xdr:rowOff>76200</xdr:rowOff>
        </xdr:from>
        <xdr:to>
          <xdr:col>20</xdr:col>
          <xdr:colOff>87630</xdr:colOff>
          <xdr:row>24</xdr:row>
          <xdr:rowOff>125730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163830</xdr:colOff>
          <xdr:row>23</xdr:row>
          <xdr:rowOff>76200</xdr:rowOff>
        </xdr:from>
        <xdr:to>
          <xdr:col>21</xdr:col>
          <xdr:colOff>140970</xdr:colOff>
          <xdr:row>24</xdr:row>
          <xdr:rowOff>125730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201930</xdr:colOff>
          <xdr:row>11</xdr:row>
          <xdr:rowOff>64770</xdr:rowOff>
        </xdr:from>
        <xdr:to>
          <xdr:col>6</xdr:col>
          <xdr:colOff>38100</xdr:colOff>
          <xdr:row>12</xdr:row>
          <xdr:rowOff>49530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Staircase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228600</xdr:colOff>
          <xdr:row>15</xdr:row>
          <xdr:rowOff>125730</xdr:rowOff>
        </xdr:from>
        <xdr:to>
          <xdr:col>31</xdr:col>
          <xdr:colOff>468630</xdr:colOff>
          <xdr:row>18</xdr:row>
          <xdr:rowOff>140970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Customized salts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39997558519241921"/>
  </sheetPr>
  <dimension ref="B1:AL151"/>
  <sheetViews>
    <sheetView showGridLines="0" workbookViewId="0">
      <selection activeCell="C2" sqref="C2"/>
    </sheetView>
  </sheetViews>
  <sheetFormatPr defaultColWidth="8.7890625" defaultRowHeight="14.4" x14ac:dyDescent="0.55000000000000004"/>
  <cols>
    <col min="1" max="2" width="2.62890625" style="14" customWidth="1"/>
    <col min="3" max="5" width="8.62890625" style="14" customWidth="1"/>
    <col min="6" max="8" width="2.62890625" style="14" customWidth="1"/>
    <col min="9" max="9" width="11.62890625" style="14" customWidth="1"/>
    <col min="10" max="10" width="3.3671875" style="14" customWidth="1"/>
    <col min="11" max="11" width="2.62890625" style="14" customWidth="1"/>
    <col min="12" max="12" width="3.62890625" style="14" customWidth="1"/>
    <col min="13" max="13" width="2.15625" style="14" customWidth="1"/>
    <col min="14" max="16" width="8.62890625" style="14" customWidth="1"/>
    <col min="17" max="19" width="2.62890625" style="14" customWidth="1"/>
    <col min="20" max="21" width="8.62890625" style="14" customWidth="1"/>
    <col min="22" max="24" width="2.62890625" style="14" customWidth="1"/>
    <col min="25" max="25" width="35" style="14" customWidth="1"/>
    <col min="26" max="26" width="1" style="14" customWidth="1"/>
    <col min="27" max="27" width="1.7890625" style="14" customWidth="1"/>
    <col min="28" max="28" width="2.62890625" style="14" customWidth="1"/>
    <col min="29" max="29" width="16.47265625" style="14" customWidth="1"/>
    <col min="30" max="30" width="4.3671875" style="14" customWidth="1"/>
    <col min="31" max="31" width="2.62890625" style="14" customWidth="1"/>
    <col min="32" max="32" width="7.7890625" style="14" customWidth="1"/>
    <col min="33" max="33" width="2.15625" style="14" customWidth="1"/>
    <col min="34" max="38" width="8.62890625" style="14" customWidth="1"/>
    <col min="39" max="16384" width="8.7890625" style="14"/>
  </cols>
  <sheetData>
    <row r="1" spans="2:38" s="10" customFormat="1" ht="10" customHeight="1" x14ac:dyDescent="0.55000000000000004"/>
    <row r="2" spans="2:38" s="10" customFormat="1" ht="14.5" customHeight="1" x14ac:dyDescent="0.7">
      <c r="C2" s="11" t="s">
        <v>102</v>
      </c>
      <c r="D2" s="11"/>
      <c r="E2" s="12"/>
      <c r="N2" s="13"/>
    </row>
    <row r="3" spans="2:38" s="10" customFormat="1" ht="4" customHeight="1" x14ac:dyDescent="0.55000000000000004"/>
    <row r="4" spans="2:38" ht="6" customHeight="1" x14ac:dyDescent="0.55000000000000004"/>
    <row r="5" spans="2:38" ht="4" customHeight="1" x14ac:dyDescent="0.55000000000000004">
      <c r="B5" s="15"/>
      <c r="C5" s="15"/>
      <c r="D5" s="15"/>
      <c r="E5" s="15"/>
      <c r="F5" s="15"/>
      <c r="G5" s="15"/>
      <c r="H5" s="15"/>
      <c r="I5" s="15"/>
      <c r="J5" s="15"/>
      <c r="L5" s="10"/>
      <c r="M5" s="16"/>
      <c r="N5" s="16"/>
      <c r="O5" s="16"/>
      <c r="P5" s="16"/>
      <c r="Q5" s="16"/>
      <c r="R5" s="16"/>
      <c r="S5" s="16"/>
      <c r="T5" s="16"/>
      <c r="U5" s="16"/>
      <c r="V5" s="15"/>
      <c r="X5" s="10"/>
      <c r="Y5" s="17"/>
      <c r="Z5" s="17"/>
      <c r="AA5" s="17"/>
      <c r="AB5" s="17"/>
      <c r="AC5" s="17"/>
      <c r="AD5" s="17"/>
      <c r="AE5" s="91"/>
      <c r="AF5" s="17"/>
      <c r="AG5" s="17"/>
      <c r="AH5" s="18"/>
      <c r="AI5" s="18"/>
      <c r="AJ5" s="18"/>
      <c r="AK5" s="18"/>
      <c r="AL5" s="18"/>
    </row>
    <row r="6" spans="2:38" ht="14.5" customHeight="1" thickBot="1" x14ac:dyDescent="0.6">
      <c r="B6" s="19"/>
      <c r="C6" s="20" t="s">
        <v>55</v>
      </c>
      <c r="D6" s="20"/>
      <c r="E6" s="19"/>
      <c r="F6" s="19"/>
      <c r="G6" s="19"/>
      <c r="H6" s="19"/>
      <c r="I6" s="19"/>
      <c r="J6" s="19"/>
      <c r="K6" s="21"/>
      <c r="L6" s="22"/>
      <c r="M6" s="23" t="s">
        <v>22</v>
      </c>
      <c r="N6" s="10"/>
      <c r="O6" s="16"/>
      <c r="P6" s="16"/>
      <c r="Q6" s="16"/>
      <c r="R6" s="16"/>
      <c r="S6" s="16"/>
      <c r="T6" s="16"/>
      <c r="U6" s="16"/>
      <c r="V6" s="15"/>
      <c r="X6" s="10"/>
      <c r="Y6" s="24" t="s">
        <v>23</v>
      </c>
      <c r="Z6" s="10"/>
      <c r="AA6" s="10"/>
      <c r="AB6" s="10"/>
      <c r="AC6" s="17"/>
      <c r="AD6" s="17"/>
      <c r="AE6" s="17"/>
      <c r="AF6" s="17"/>
      <c r="AG6" s="17"/>
      <c r="AH6" s="18"/>
      <c r="AI6" s="18"/>
      <c r="AJ6" s="18"/>
      <c r="AK6" s="18"/>
      <c r="AL6" s="18"/>
    </row>
    <row r="7" spans="2:38" ht="4" customHeight="1" thickTop="1" x14ac:dyDescent="0.55000000000000004">
      <c r="B7" s="19"/>
      <c r="C7" s="25"/>
      <c r="D7" s="25"/>
      <c r="E7" s="25"/>
      <c r="F7" s="19"/>
      <c r="G7" s="25"/>
      <c r="H7" s="25"/>
      <c r="I7" s="25"/>
      <c r="J7" s="25"/>
      <c r="K7" s="26"/>
      <c r="L7" s="27"/>
      <c r="M7" s="28"/>
      <c r="N7" s="10"/>
      <c r="O7" s="16"/>
      <c r="P7" s="16"/>
      <c r="Q7" s="16"/>
      <c r="R7" s="16"/>
      <c r="S7" s="16"/>
      <c r="T7" s="16"/>
      <c r="U7" s="16"/>
      <c r="V7" s="15"/>
      <c r="X7" s="10"/>
      <c r="Y7" s="17"/>
      <c r="Z7" s="10"/>
      <c r="AA7" s="10"/>
      <c r="AB7" s="10"/>
      <c r="AC7" s="17"/>
      <c r="AD7" s="17"/>
      <c r="AE7" s="92"/>
      <c r="AF7" s="17"/>
      <c r="AG7" s="17"/>
      <c r="AH7" s="18"/>
      <c r="AI7" s="18"/>
      <c r="AJ7" s="18"/>
      <c r="AK7" s="18"/>
      <c r="AL7" s="18"/>
    </row>
    <row r="8" spans="2:38" ht="4" customHeight="1" x14ac:dyDescent="0.55000000000000004">
      <c r="B8" s="29"/>
      <c r="C8" s="30"/>
      <c r="D8" s="30"/>
      <c r="E8" s="30"/>
      <c r="F8" s="29"/>
      <c r="G8" s="30"/>
      <c r="H8" s="30"/>
      <c r="I8" s="30"/>
      <c r="J8" s="30"/>
      <c r="K8" s="26"/>
      <c r="L8" s="30"/>
      <c r="M8" s="31"/>
      <c r="N8" s="32"/>
      <c r="O8" s="33"/>
      <c r="P8" s="33"/>
      <c r="Q8" s="33"/>
      <c r="R8" s="33"/>
      <c r="S8" s="33"/>
      <c r="T8" s="33"/>
      <c r="U8" s="33"/>
      <c r="V8" s="32"/>
      <c r="X8" s="32"/>
      <c r="Y8" s="34"/>
      <c r="Z8" s="32"/>
      <c r="AA8" s="32"/>
      <c r="AB8" s="32"/>
      <c r="AC8" s="32"/>
      <c r="AD8" s="32"/>
      <c r="AE8" s="32"/>
      <c r="AF8" s="32"/>
      <c r="AG8" s="32"/>
    </row>
    <row r="9" spans="2:38" ht="14.5" customHeight="1" x14ac:dyDescent="0.55000000000000004">
      <c r="B9" s="32"/>
      <c r="C9" s="95" t="s">
        <v>19</v>
      </c>
      <c r="D9" s="95"/>
      <c r="E9" s="95"/>
      <c r="F9" s="101" t="s">
        <v>56</v>
      </c>
      <c r="G9" s="101"/>
      <c r="H9" s="101"/>
      <c r="I9" s="101"/>
      <c r="J9" s="32"/>
      <c r="L9" s="32"/>
      <c r="M9" s="35" t="s">
        <v>52</v>
      </c>
      <c r="N9" s="32"/>
      <c r="O9" s="32"/>
      <c r="P9" s="32"/>
      <c r="Q9" s="32"/>
      <c r="R9" s="32"/>
      <c r="S9" s="32"/>
      <c r="T9" s="34" t="s">
        <v>54</v>
      </c>
      <c r="U9" s="32"/>
      <c r="V9" s="32"/>
      <c r="X9" s="32"/>
      <c r="Y9" s="34" t="s">
        <v>84</v>
      </c>
      <c r="Z9" s="32"/>
      <c r="AA9" s="32"/>
      <c r="AB9" s="32"/>
      <c r="AC9" s="34" t="s">
        <v>86</v>
      </c>
      <c r="AD9" s="36"/>
      <c r="AE9" s="36"/>
      <c r="AF9" s="36"/>
      <c r="AG9" s="36"/>
      <c r="AH9" s="37"/>
      <c r="AI9" s="37"/>
      <c r="AJ9" s="37"/>
      <c r="AK9" s="37"/>
      <c r="AL9" s="37"/>
    </row>
    <row r="10" spans="2:38" ht="14.5" customHeight="1" x14ac:dyDescent="0.55000000000000004">
      <c r="B10" s="32"/>
      <c r="C10" s="96"/>
      <c r="D10" s="97"/>
      <c r="E10" s="97"/>
      <c r="F10" s="32"/>
      <c r="G10" s="99">
        <v>10</v>
      </c>
      <c r="H10" s="100"/>
      <c r="I10" s="32"/>
      <c r="J10" s="38"/>
      <c r="K10" s="39"/>
      <c r="L10" s="38"/>
      <c r="M10" s="102" t="s">
        <v>127</v>
      </c>
      <c r="N10" s="103"/>
      <c r="O10" s="103"/>
      <c r="P10" s="103"/>
      <c r="Q10" s="103"/>
      <c r="R10" s="104"/>
      <c r="S10" s="40"/>
      <c r="T10" s="41">
        <v>0.2</v>
      </c>
      <c r="U10" s="32"/>
      <c r="V10" s="32"/>
      <c r="X10" s="32"/>
      <c r="Y10" s="87" t="s">
        <v>95</v>
      </c>
      <c r="Z10" s="86"/>
      <c r="AA10" s="86"/>
      <c r="AB10" s="86"/>
      <c r="AC10" s="88">
        <v>12532016</v>
      </c>
      <c r="AD10" s="42"/>
      <c r="AE10" s="42"/>
      <c r="AF10" s="42"/>
      <c r="AG10" s="42"/>
      <c r="AH10" s="43"/>
      <c r="AI10" s="43"/>
      <c r="AJ10" s="43"/>
      <c r="AK10" s="43"/>
    </row>
    <row r="11" spans="2:38" ht="14.5" customHeight="1" x14ac:dyDescent="0.55000000000000004">
      <c r="B11" s="32"/>
      <c r="C11" s="32"/>
      <c r="D11" s="32"/>
      <c r="E11" s="32"/>
      <c r="F11" s="32"/>
      <c r="G11" s="29"/>
      <c r="H11" s="29"/>
      <c r="I11" s="32"/>
      <c r="J11" s="32"/>
      <c r="L11" s="32"/>
      <c r="M11" s="34" t="s">
        <v>53</v>
      </c>
      <c r="N11" s="32"/>
      <c r="O11" s="44"/>
      <c r="P11" s="45"/>
      <c r="Q11" s="45"/>
      <c r="R11" s="45"/>
      <c r="S11" s="45"/>
      <c r="T11" s="46" t="s">
        <v>54</v>
      </c>
      <c r="U11" s="29"/>
      <c r="V11" s="29"/>
      <c r="W11" s="21"/>
      <c r="X11" s="29"/>
      <c r="Y11" s="34" t="s">
        <v>85</v>
      </c>
      <c r="Z11" s="86"/>
      <c r="AA11" s="86"/>
      <c r="AB11" s="86"/>
      <c r="AC11" s="118" t="s">
        <v>118</v>
      </c>
      <c r="AD11" s="118"/>
      <c r="AE11" s="118"/>
      <c r="AF11" s="118"/>
      <c r="AG11" s="42"/>
      <c r="AH11" s="43"/>
      <c r="AI11" s="43"/>
      <c r="AJ11" s="43"/>
      <c r="AK11" s="43"/>
      <c r="AL11" s="47"/>
    </row>
    <row r="12" spans="2:38" ht="14.5" customHeight="1" x14ac:dyDescent="0.55000000000000004">
      <c r="B12" s="32"/>
      <c r="C12" s="48"/>
      <c r="D12" s="48"/>
      <c r="E12" s="48"/>
      <c r="F12" s="29"/>
      <c r="G12" s="29"/>
      <c r="H12" s="29"/>
      <c r="I12" s="32"/>
      <c r="J12" s="32"/>
      <c r="L12" s="32"/>
      <c r="M12" s="122" t="s">
        <v>128</v>
      </c>
      <c r="N12" s="103"/>
      <c r="O12" s="103"/>
      <c r="P12" s="103"/>
      <c r="Q12" s="103"/>
      <c r="R12" s="104"/>
      <c r="S12" s="40"/>
      <c r="T12" s="41">
        <v>0.2</v>
      </c>
      <c r="U12" s="29"/>
      <c r="V12" s="29"/>
      <c r="W12" s="21"/>
      <c r="X12" s="29"/>
      <c r="Y12" s="87" t="s">
        <v>94</v>
      </c>
      <c r="Z12" s="86"/>
      <c r="AA12" s="86"/>
      <c r="AB12" s="86"/>
      <c r="AC12" s="118"/>
      <c r="AD12" s="118"/>
      <c r="AE12" s="118"/>
      <c r="AF12" s="118"/>
      <c r="AG12" s="42"/>
      <c r="AH12" s="43"/>
      <c r="AI12" s="43"/>
      <c r="AJ12" s="43"/>
      <c r="AK12" s="43"/>
      <c r="AL12" s="47"/>
    </row>
    <row r="13" spans="2:38" x14ac:dyDescent="0.55000000000000004">
      <c r="B13" s="32"/>
      <c r="C13" s="49"/>
      <c r="D13" s="49"/>
      <c r="E13" s="49"/>
      <c r="F13" s="32"/>
      <c r="G13" s="32"/>
      <c r="H13" s="32"/>
      <c r="I13" s="32"/>
      <c r="J13" s="32"/>
      <c r="L13" s="32"/>
      <c r="M13" s="32"/>
      <c r="N13" s="32"/>
      <c r="O13" s="32"/>
      <c r="P13" s="45"/>
      <c r="Q13" s="45"/>
      <c r="R13" s="45"/>
      <c r="S13" s="45"/>
      <c r="T13" s="45"/>
      <c r="U13" s="45"/>
      <c r="V13" s="32"/>
      <c r="X13" s="32"/>
      <c r="Y13" s="32"/>
      <c r="Z13" s="32"/>
      <c r="AA13" s="32"/>
      <c r="AB13" s="32"/>
      <c r="AC13" s="94"/>
      <c r="AD13" s="36"/>
      <c r="AE13" s="32"/>
      <c r="AF13" s="32"/>
      <c r="AG13" s="45"/>
      <c r="AH13" s="47"/>
      <c r="AI13" s="47"/>
      <c r="AJ13" s="47"/>
    </row>
    <row r="14" spans="2:38" ht="8.0500000000000007" customHeight="1" x14ac:dyDescent="0.55000000000000004">
      <c r="C14" s="50"/>
      <c r="D14" s="50"/>
      <c r="E14" s="50"/>
      <c r="N14" s="51"/>
      <c r="T14" s="47"/>
      <c r="U14" s="47"/>
      <c r="V14" s="47"/>
      <c r="W14" s="47"/>
      <c r="X14" s="47"/>
      <c r="Y14" s="47"/>
      <c r="Z14" s="47"/>
      <c r="AA14" s="47"/>
      <c r="AB14" s="45"/>
      <c r="AC14" s="45"/>
      <c r="AD14" s="32"/>
      <c r="AE14" s="32"/>
      <c r="AF14" s="32"/>
      <c r="AG14" s="45"/>
      <c r="AH14" s="47"/>
      <c r="AI14" s="47"/>
      <c r="AJ14" s="47"/>
    </row>
    <row r="15" spans="2:38" ht="4" customHeight="1" x14ac:dyDescent="0.55000000000000004">
      <c r="B15" s="52"/>
      <c r="C15" s="53"/>
      <c r="D15" s="53"/>
      <c r="E15" s="53"/>
      <c r="F15" s="52"/>
      <c r="H15" s="54"/>
      <c r="I15" s="54"/>
      <c r="J15" s="54"/>
      <c r="K15" s="54"/>
      <c r="L15" s="54"/>
      <c r="M15" s="54"/>
      <c r="N15" s="54"/>
      <c r="O15" s="54"/>
      <c r="P15" s="17"/>
      <c r="Q15" s="10"/>
      <c r="S15" s="17"/>
      <c r="T15" s="17"/>
      <c r="U15" s="17"/>
      <c r="V15" s="17"/>
      <c r="W15" s="17"/>
      <c r="X15" s="10"/>
      <c r="Y15" s="10"/>
      <c r="Z15" s="13"/>
      <c r="AA15" s="47"/>
      <c r="AB15" s="45"/>
      <c r="AC15" s="45"/>
      <c r="AD15" s="32"/>
      <c r="AE15" s="32"/>
      <c r="AF15" s="32"/>
      <c r="AG15" s="45"/>
      <c r="AH15" s="47"/>
      <c r="AI15" s="47"/>
      <c r="AJ15" s="47"/>
    </row>
    <row r="16" spans="2:38" ht="14.5" customHeight="1" thickBot="1" x14ac:dyDescent="0.6">
      <c r="B16" s="52"/>
      <c r="C16" s="55" t="s">
        <v>21</v>
      </c>
      <c r="D16" s="55"/>
      <c r="E16" s="55"/>
      <c r="F16" s="52"/>
      <c r="H16" s="54"/>
      <c r="I16" s="56" t="s">
        <v>31</v>
      </c>
      <c r="J16" s="57"/>
      <c r="K16" s="58"/>
      <c r="L16" s="58"/>
      <c r="M16" s="54"/>
      <c r="N16" s="54"/>
      <c r="O16" s="54"/>
      <c r="P16" s="17"/>
      <c r="Q16" s="10"/>
      <c r="S16" s="17"/>
      <c r="T16" s="17" t="s">
        <v>35</v>
      </c>
      <c r="U16" s="17"/>
      <c r="V16" s="17"/>
      <c r="W16" s="17"/>
      <c r="X16" s="10"/>
      <c r="Y16" s="10"/>
      <c r="Z16" s="13"/>
      <c r="AA16" s="47"/>
      <c r="AB16" s="45"/>
      <c r="AC16" s="119" t="s">
        <v>123</v>
      </c>
      <c r="AD16" s="119"/>
      <c r="AE16" s="119"/>
      <c r="AF16" s="119"/>
      <c r="AG16" s="45"/>
      <c r="AH16" s="47"/>
      <c r="AI16" s="47"/>
      <c r="AJ16" s="47"/>
    </row>
    <row r="17" spans="2:36" ht="4" customHeight="1" thickTop="1" x14ac:dyDescent="0.55000000000000004">
      <c r="B17" s="52"/>
      <c r="C17" s="55"/>
      <c r="D17" s="55"/>
      <c r="E17" s="55"/>
      <c r="F17" s="52"/>
      <c r="H17" s="54"/>
      <c r="I17" s="54"/>
      <c r="J17" s="54"/>
      <c r="K17" s="54"/>
      <c r="L17" s="54"/>
      <c r="M17" s="54"/>
      <c r="N17" s="54"/>
      <c r="O17" s="54"/>
      <c r="P17" s="17"/>
      <c r="Q17" s="10"/>
      <c r="S17" s="17"/>
      <c r="T17" s="17"/>
      <c r="U17" s="17"/>
      <c r="V17" s="17"/>
      <c r="W17" s="17"/>
      <c r="X17" s="10"/>
      <c r="Y17" s="10"/>
      <c r="Z17" s="13"/>
      <c r="AA17" s="47"/>
      <c r="AB17" s="45"/>
      <c r="AC17" s="120" t="s">
        <v>122</v>
      </c>
      <c r="AD17" s="32"/>
      <c r="AE17" s="32"/>
      <c r="AF17" s="32"/>
      <c r="AG17" s="45"/>
      <c r="AH17" s="47"/>
      <c r="AI17" s="47"/>
      <c r="AJ17" s="47"/>
    </row>
    <row r="18" spans="2:36" ht="8.5" customHeight="1" x14ac:dyDescent="0.55000000000000004">
      <c r="B18" s="33"/>
      <c r="C18" s="59"/>
      <c r="D18" s="59"/>
      <c r="E18" s="59"/>
      <c r="F18" s="33"/>
      <c r="H18" s="60"/>
      <c r="I18" s="60"/>
      <c r="J18" s="32"/>
      <c r="K18" s="60"/>
      <c r="L18" s="60"/>
      <c r="M18" s="60"/>
      <c r="N18" s="60"/>
      <c r="O18" s="60"/>
      <c r="P18" s="60"/>
      <c r="Q18" s="32"/>
      <c r="S18" s="60"/>
      <c r="T18" s="60"/>
      <c r="U18" s="60"/>
      <c r="V18" s="60"/>
      <c r="W18" s="60"/>
      <c r="X18" s="32"/>
      <c r="Y18" s="32"/>
      <c r="Z18" s="45"/>
      <c r="AA18" s="47"/>
      <c r="AB18" s="45"/>
      <c r="AC18" s="121"/>
      <c r="AD18" s="32"/>
      <c r="AE18" s="32"/>
      <c r="AF18" s="32"/>
      <c r="AG18" s="45"/>
      <c r="AH18" s="47"/>
      <c r="AI18" s="47"/>
      <c r="AJ18" s="47"/>
    </row>
    <row r="19" spans="2:36" ht="14.5" customHeight="1" x14ac:dyDescent="0.55000000000000004">
      <c r="B19" s="32"/>
      <c r="C19" s="61" t="s">
        <v>0</v>
      </c>
      <c r="D19" s="61"/>
      <c r="E19" s="61"/>
      <c r="F19" s="32"/>
      <c r="G19" s="21"/>
      <c r="H19" s="32"/>
      <c r="I19" s="29"/>
      <c r="J19" s="84" t="s">
        <v>82</v>
      </c>
      <c r="K19" s="83"/>
      <c r="L19" s="83" t="s">
        <v>83</v>
      </c>
      <c r="M19" s="83"/>
      <c r="N19" s="85" t="s">
        <v>33</v>
      </c>
      <c r="O19" s="108" t="s">
        <v>34</v>
      </c>
      <c r="P19" s="108"/>
      <c r="Q19" s="62"/>
      <c r="S19" s="62"/>
      <c r="T19" s="29" t="s">
        <v>36</v>
      </c>
      <c r="U19" s="45"/>
      <c r="V19" s="32"/>
      <c r="W19" s="32"/>
      <c r="X19" s="32"/>
      <c r="Y19" s="32" t="s">
        <v>116</v>
      </c>
      <c r="Z19" s="45"/>
      <c r="AA19" s="47"/>
      <c r="AB19" s="45"/>
      <c r="AC19" s="93"/>
      <c r="AD19" s="29"/>
      <c r="AE19" s="32"/>
      <c r="AF19" s="32"/>
      <c r="AG19" s="45"/>
      <c r="AH19" s="47"/>
      <c r="AI19" s="47"/>
      <c r="AJ19" s="47"/>
    </row>
    <row r="20" spans="2:36" ht="14.5" customHeight="1" x14ac:dyDescent="0.55000000000000004">
      <c r="B20" s="32"/>
      <c r="C20" s="98" t="s">
        <v>129</v>
      </c>
      <c r="D20" s="98"/>
      <c r="E20" s="98"/>
      <c r="F20" s="32"/>
      <c r="G20" s="21"/>
      <c r="H20" s="32"/>
      <c r="I20" s="63" t="s">
        <v>46</v>
      </c>
      <c r="J20" s="82">
        <v>1</v>
      </c>
      <c r="K20" s="80"/>
      <c r="L20" s="81">
        <v>0</v>
      </c>
      <c r="M20" s="80"/>
      <c r="N20" s="64">
        <v>94</v>
      </c>
      <c r="O20" s="109">
        <v>1</v>
      </c>
      <c r="P20" s="110"/>
      <c r="Q20" s="62"/>
      <c r="S20" s="62"/>
      <c r="T20" s="29" t="s">
        <v>115</v>
      </c>
      <c r="U20" s="32"/>
      <c r="V20" s="32"/>
      <c r="W20" s="32"/>
      <c r="X20" s="32"/>
      <c r="Y20" s="34" t="s">
        <v>117</v>
      </c>
      <c r="Z20" s="36"/>
      <c r="AA20" s="37"/>
      <c r="AB20" s="36"/>
      <c r="AC20" s="36"/>
      <c r="AD20" s="36"/>
      <c r="AE20" s="36"/>
      <c r="AF20" s="36"/>
      <c r="AG20" s="36"/>
    </row>
    <row r="21" spans="2:36" ht="14.5" customHeight="1" x14ac:dyDescent="0.55000000000000004">
      <c r="B21" s="32"/>
      <c r="C21" s="65" t="s">
        <v>51</v>
      </c>
      <c r="D21" s="65"/>
      <c r="E21" s="32"/>
      <c r="F21" s="32"/>
      <c r="G21" s="66"/>
      <c r="H21" s="67"/>
      <c r="I21" s="68" t="s">
        <v>47</v>
      </c>
      <c r="J21" s="81">
        <v>0</v>
      </c>
      <c r="K21" s="80"/>
      <c r="L21" s="81">
        <v>30</v>
      </c>
      <c r="M21" s="80"/>
      <c r="N21" s="69">
        <v>94</v>
      </c>
      <c r="O21" s="113">
        <v>35</v>
      </c>
      <c r="P21" s="114"/>
      <c r="Q21" s="62"/>
      <c r="S21" s="62"/>
      <c r="T21" s="29"/>
      <c r="U21" s="32"/>
      <c r="V21" s="67"/>
      <c r="W21" s="67"/>
      <c r="X21" s="67"/>
      <c r="Y21" s="115"/>
      <c r="Z21" s="67"/>
      <c r="AA21" s="66"/>
      <c r="AB21" s="66"/>
      <c r="AC21" s="66"/>
      <c r="AD21" s="37"/>
      <c r="AE21" s="37"/>
      <c r="AF21" s="37"/>
      <c r="AH21" s="47"/>
    </row>
    <row r="22" spans="2:36" ht="14.5" customHeight="1" x14ac:dyDescent="0.55000000000000004">
      <c r="B22" s="32"/>
      <c r="C22" s="70">
        <v>0</v>
      </c>
      <c r="D22" s="71"/>
      <c r="E22" s="32"/>
      <c r="F22" s="32"/>
      <c r="G22" s="21"/>
      <c r="H22" s="29"/>
      <c r="I22" s="72" t="s">
        <v>48</v>
      </c>
      <c r="J22" s="81">
        <v>0</v>
      </c>
      <c r="K22" s="80"/>
      <c r="L22" s="81">
        <v>30</v>
      </c>
      <c r="M22" s="80"/>
      <c r="N22" s="73">
        <v>56</v>
      </c>
      <c r="O22" s="111"/>
      <c r="P22" s="112"/>
      <c r="Q22" s="62"/>
      <c r="S22" s="62"/>
      <c r="T22" s="29"/>
      <c r="U22" s="32"/>
      <c r="V22" s="32"/>
      <c r="W22" s="67"/>
      <c r="X22" s="67"/>
      <c r="Y22" s="116"/>
      <c r="Z22" s="67"/>
      <c r="AA22" s="66"/>
      <c r="AB22" s="66"/>
      <c r="AC22" s="66"/>
    </row>
    <row r="23" spans="2:36" ht="14.5" customHeight="1" x14ac:dyDescent="0.55000000000000004">
      <c r="B23" s="32"/>
      <c r="C23" s="34" t="s">
        <v>32</v>
      </c>
      <c r="D23" s="32"/>
      <c r="E23" s="32"/>
      <c r="F23" s="32"/>
      <c r="G23" s="21"/>
      <c r="H23" s="29"/>
      <c r="I23" s="68" t="s">
        <v>49</v>
      </c>
      <c r="J23" s="81">
        <v>1</v>
      </c>
      <c r="K23" s="80"/>
      <c r="L23" s="81">
        <v>0</v>
      </c>
      <c r="M23" s="80"/>
      <c r="N23" s="74">
        <v>68</v>
      </c>
      <c r="O23" s="109"/>
      <c r="P23" s="110"/>
      <c r="Q23" s="62"/>
      <c r="S23" s="62"/>
      <c r="T23" s="32"/>
      <c r="U23" s="32"/>
      <c r="V23" s="32"/>
      <c r="W23" s="29"/>
      <c r="X23" s="29"/>
      <c r="Y23" s="116"/>
      <c r="Z23" s="32"/>
    </row>
    <row r="24" spans="2:36" ht="14.5" customHeight="1" x14ac:dyDescent="0.55000000000000004">
      <c r="B24" s="32"/>
      <c r="C24" s="70">
        <v>1100</v>
      </c>
      <c r="D24" s="32"/>
      <c r="E24" s="32"/>
      <c r="F24" s="32"/>
      <c r="G24" s="21"/>
      <c r="H24" s="67"/>
      <c r="I24" s="68" t="s">
        <v>50</v>
      </c>
      <c r="J24" s="81">
        <v>5</v>
      </c>
      <c r="K24" s="80"/>
      <c r="L24" s="81">
        <v>0</v>
      </c>
      <c r="M24" s="80"/>
      <c r="N24" s="73">
        <v>68</v>
      </c>
      <c r="O24" s="111">
        <v>1</v>
      </c>
      <c r="P24" s="112"/>
      <c r="Q24" s="62"/>
      <c r="S24" s="62"/>
      <c r="T24" s="32"/>
      <c r="U24" s="32"/>
      <c r="V24" s="32"/>
      <c r="W24" s="36"/>
      <c r="X24" s="36"/>
      <c r="Y24" s="117"/>
      <c r="Z24" s="36"/>
      <c r="AA24" s="37"/>
      <c r="AB24" s="37"/>
      <c r="AC24" s="37"/>
      <c r="AD24" s="37"/>
      <c r="AE24" s="37"/>
      <c r="AF24" s="37"/>
      <c r="AG24" s="37"/>
    </row>
    <row r="25" spans="2:36" ht="14.5" customHeight="1" x14ac:dyDescent="0.55000000000000004">
      <c r="B25" s="32"/>
      <c r="C25" s="32"/>
      <c r="D25" s="32"/>
      <c r="E25" s="32"/>
      <c r="F25" s="32"/>
      <c r="G25" s="21"/>
      <c r="H25" s="29"/>
      <c r="I25" s="75"/>
      <c r="J25" s="32"/>
      <c r="K25" s="32"/>
      <c r="L25" s="32"/>
      <c r="M25" s="32"/>
      <c r="N25" s="32"/>
      <c r="O25" s="32"/>
      <c r="P25" s="29"/>
      <c r="Q25" s="32"/>
      <c r="S25" s="89"/>
      <c r="T25" s="89"/>
      <c r="U25" s="90"/>
      <c r="V25" s="90"/>
      <c r="W25" s="90"/>
      <c r="X25" s="90"/>
      <c r="Y25" s="67"/>
      <c r="Z25" s="67"/>
      <c r="AA25" s="66"/>
      <c r="AB25" s="66"/>
      <c r="AC25" s="66"/>
      <c r="AG25" s="76"/>
    </row>
    <row r="26" spans="2:36" ht="14.5" customHeight="1" x14ac:dyDescent="0.55000000000000004">
      <c r="B26" s="32"/>
      <c r="C26" s="32"/>
      <c r="D26" s="32"/>
      <c r="E26" s="32"/>
      <c r="F26" s="32"/>
      <c r="H26" s="32"/>
      <c r="I26" s="77" t="s">
        <v>24</v>
      </c>
      <c r="J26" s="105" t="s">
        <v>126</v>
      </c>
      <c r="K26" s="106"/>
      <c r="L26" s="106"/>
      <c r="M26" s="107"/>
      <c r="N26" s="32"/>
      <c r="O26" s="32"/>
      <c r="P26" s="32"/>
      <c r="Q26" s="32"/>
      <c r="S26" s="32"/>
      <c r="T26" s="32"/>
      <c r="U26" s="29"/>
      <c r="V26" s="29"/>
      <c r="W26" s="29"/>
      <c r="X26" s="29"/>
      <c r="Y26" s="32"/>
      <c r="Z26" s="32"/>
    </row>
    <row r="27" spans="2:36" ht="10" customHeight="1" x14ac:dyDescent="0.55000000000000004">
      <c r="B27" s="32"/>
      <c r="C27" s="32"/>
      <c r="D27" s="32"/>
      <c r="E27" s="32"/>
      <c r="F27" s="32"/>
      <c r="H27" s="32"/>
      <c r="I27" s="78"/>
      <c r="J27" s="79"/>
      <c r="K27" s="79"/>
      <c r="L27" s="79"/>
      <c r="M27" s="79"/>
      <c r="N27" s="32"/>
      <c r="O27" s="32"/>
      <c r="P27" s="32"/>
      <c r="Q27" s="32"/>
      <c r="U27" s="21"/>
      <c r="V27" s="21"/>
      <c r="W27" s="21"/>
      <c r="X27" s="21"/>
    </row>
    <row r="28" spans="2:36" ht="14.5" customHeight="1" x14ac:dyDescent="0.55000000000000004"/>
    <row r="29" spans="2:36" ht="14.5" customHeight="1" x14ac:dyDescent="0.55000000000000004"/>
    <row r="30" spans="2:36" ht="14.5" customHeight="1" x14ac:dyDescent="0.55000000000000004"/>
    <row r="31" spans="2:36" ht="14.5" customHeight="1" x14ac:dyDescent="0.55000000000000004"/>
    <row r="32" spans="2:36" ht="14.5" customHeight="1" x14ac:dyDescent="0.55000000000000004"/>
    <row r="33" ht="14.5" customHeight="1" x14ac:dyDescent="0.55000000000000004"/>
    <row r="34" ht="14.5" customHeight="1" x14ac:dyDescent="0.55000000000000004"/>
    <row r="35" ht="14.5" customHeight="1" x14ac:dyDescent="0.55000000000000004"/>
    <row r="36" ht="14.5" customHeight="1" x14ac:dyDescent="0.55000000000000004"/>
    <row r="37" ht="14.5" customHeight="1" x14ac:dyDescent="0.55000000000000004"/>
    <row r="38" ht="14.5" customHeight="1" x14ac:dyDescent="0.55000000000000004"/>
    <row r="39" ht="14.5" customHeight="1" x14ac:dyDescent="0.55000000000000004"/>
    <row r="40" ht="14.5" customHeight="1" x14ac:dyDescent="0.55000000000000004"/>
    <row r="41" ht="14.5" customHeight="1" x14ac:dyDescent="0.55000000000000004"/>
    <row r="42" ht="14.5" customHeight="1" x14ac:dyDescent="0.55000000000000004"/>
    <row r="43" ht="14.5" customHeight="1" x14ac:dyDescent="0.55000000000000004"/>
    <row r="44" ht="14.5" customHeight="1" x14ac:dyDescent="0.55000000000000004"/>
    <row r="45" ht="14.5" customHeight="1" x14ac:dyDescent="0.55000000000000004"/>
    <row r="46" ht="14.5" customHeight="1" x14ac:dyDescent="0.55000000000000004"/>
    <row r="47" ht="14.5" customHeight="1" x14ac:dyDescent="0.55000000000000004"/>
    <row r="48" ht="14.5" customHeight="1" x14ac:dyDescent="0.55000000000000004"/>
    <row r="49" ht="14.5" customHeight="1" x14ac:dyDescent="0.55000000000000004"/>
    <row r="50" ht="14.5" customHeight="1" x14ac:dyDescent="0.55000000000000004"/>
    <row r="51" ht="14.5" customHeight="1" x14ac:dyDescent="0.55000000000000004"/>
    <row r="52" ht="14.5" customHeight="1" x14ac:dyDescent="0.55000000000000004"/>
    <row r="53" ht="14.5" customHeight="1" x14ac:dyDescent="0.55000000000000004"/>
    <row r="54" ht="14.5" customHeight="1" x14ac:dyDescent="0.55000000000000004"/>
    <row r="55" ht="14.5" customHeight="1" x14ac:dyDescent="0.55000000000000004"/>
    <row r="56" ht="14.5" customHeight="1" x14ac:dyDescent="0.55000000000000004"/>
    <row r="57" ht="14.5" customHeight="1" x14ac:dyDescent="0.55000000000000004"/>
    <row r="58" ht="14.5" customHeight="1" x14ac:dyDescent="0.55000000000000004"/>
    <row r="59" ht="14.5" customHeight="1" x14ac:dyDescent="0.55000000000000004"/>
    <row r="60" ht="14.5" customHeight="1" x14ac:dyDescent="0.55000000000000004"/>
    <row r="61" ht="14.5" customHeight="1" x14ac:dyDescent="0.55000000000000004"/>
    <row r="62" ht="14.5" customHeight="1" x14ac:dyDescent="0.55000000000000004"/>
    <row r="63" ht="14.5" customHeight="1" x14ac:dyDescent="0.55000000000000004"/>
    <row r="64" ht="14.5" customHeight="1" x14ac:dyDescent="0.55000000000000004"/>
    <row r="65" ht="14.5" customHeight="1" x14ac:dyDescent="0.55000000000000004"/>
    <row r="66" ht="14.5" customHeight="1" x14ac:dyDescent="0.55000000000000004"/>
    <row r="67" ht="14.5" customHeight="1" x14ac:dyDescent="0.55000000000000004"/>
    <row r="68" ht="14.5" customHeight="1" x14ac:dyDescent="0.55000000000000004"/>
    <row r="69" ht="14.5" customHeight="1" x14ac:dyDescent="0.55000000000000004"/>
    <row r="70" ht="14.5" customHeight="1" x14ac:dyDescent="0.55000000000000004"/>
    <row r="71" ht="14.5" customHeight="1" x14ac:dyDescent="0.55000000000000004"/>
    <row r="72" ht="14.5" customHeight="1" x14ac:dyDescent="0.55000000000000004"/>
    <row r="73" ht="14.5" customHeight="1" x14ac:dyDescent="0.55000000000000004"/>
    <row r="74" ht="14.5" customHeight="1" x14ac:dyDescent="0.55000000000000004"/>
    <row r="75" ht="14.5" customHeight="1" x14ac:dyDescent="0.55000000000000004"/>
    <row r="76" ht="14.5" customHeight="1" x14ac:dyDescent="0.55000000000000004"/>
    <row r="77" ht="14.5" customHeight="1" x14ac:dyDescent="0.55000000000000004"/>
    <row r="78" ht="14.5" customHeight="1" x14ac:dyDescent="0.55000000000000004"/>
    <row r="79" ht="14.5" customHeight="1" x14ac:dyDescent="0.55000000000000004"/>
    <row r="80" ht="14.5" customHeight="1" x14ac:dyDescent="0.55000000000000004"/>
    <row r="81" ht="14.5" customHeight="1" x14ac:dyDescent="0.55000000000000004"/>
    <row r="82" ht="14.5" customHeight="1" x14ac:dyDescent="0.55000000000000004"/>
    <row r="83" ht="14.5" customHeight="1" x14ac:dyDescent="0.55000000000000004"/>
    <row r="84" ht="14.5" customHeight="1" x14ac:dyDescent="0.55000000000000004"/>
    <row r="85" ht="14.5" customHeight="1" x14ac:dyDescent="0.55000000000000004"/>
    <row r="86" ht="14.5" customHeight="1" x14ac:dyDescent="0.55000000000000004"/>
    <row r="87" ht="14.5" customHeight="1" x14ac:dyDescent="0.55000000000000004"/>
    <row r="88" ht="14.5" customHeight="1" x14ac:dyDescent="0.55000000000000004"/>
    <row r="89" ht="14.5" customHeight="1" x14ac:dyDescent="0.55000000000000004"/>
    <row r="90" ht="14.5" customHeight="1" x14ac:dyDescent="0.55000000000000004"/>
    <row r="91" ht="14.5" customHeight="1" x14ac:dyDescent="0.55000000000000004"/>
    <row r="92" ht="14.5" customHeight="1" x14ac:dyDescent="0.55000000000000004"/>
    <row r="93" ht="14.5" customHeight="1" x14ac:dyDescent="0.55000000000000004"/>
    <row r="94" ht="14.5" customHeight="1" x14ac:dyDescent="0.55000000000000004"/>
    <row r="95" ht="14.5" customHeight="1" x14ac:dyDescent="0.55000000000000004"/>
    <row r="96" ht="14.5" customHeight="1" x14ac:dyDescent="0.55000000000000004"/>
    <row r="97" ht="14.5" customHeight="1" x14ac:dyDescent="0.55000000000000004"/>
    <row r="98" ht="14.5" customHeight="1" x14ac:dyDescent="0.55000000000000004"/>
    <row r="99" ht="14.5" customHeight="1" x14ac:dyDescent="0.55000000000000004"/>
    <row r="100" ht="14.5" customHeight="1" x14ac:dyDescent="0.55000000000000004"/>
    <row r="101" ht="14.5" customHeight="1" x14ac:dyDescent="0.55000000000000004"/>
    <row r="102" ht="14.5" customHeight="1" x14ac:dyDescent="0.55000000000000004"/>
    <row r="103" ht="14.5" customHeight="1" x14ac:dyDescent="0.55000000000000004"/>
    <row r="104" ht="14.5" customHeight="1" x14ac:dyDescent="0.55000000000000004"/>
    <row r="105" ht="14.5" customHeight="1" x14ac:dyDescent="0.55000000000000004"/>
    <row r="106" ht="14.5" customHeight="1" x14ac:dyDescent="0.55000000000000004"/>
    <row r="107" ht="14.5" customHeight="1" x14ac:dyDescent="0.55000000000000004"/>
    <row r="108" ht="14.5" customHeight="1" x14ac:dyDescent="0.55000000000000004"/>
    <row r="109" ht="14.5" customHeight="1" x14ac:dyDescent="0.55000000000000004"/>
    <row r="110" ht="14.5" customHeight="1" x14ac:dyDescent="0.55000000000000004"/>
    <row r="111" ht="14.5" customHeight="1" x14ac:dyDescent="0.55000000000000004"/>
    <row r="112" ht="14.5" customHeight="1" x14ac:dyDescent="0.55000000000000004"/>
    <row r="113" ht="14.5" customHeight="1" x14ac:dyDescent="0.55000000000000004"/>
    <row r="114" ht="14.5" customHeight="1" x14ac:dyDescent="0.55000000000000004"/>
    <row r="115" ht="14.5" customHeight="1" x14ac:dyDescent="0.55000000000000004"/>
    <row r="116" ht="14.5" customHeight="1" x14ac:dyDescent="0.55000000000000004"/>
    <row r="117" ht="14.5" customHeight="1" x14ac:dyDescent="0.55000000000000004"/>
    <row r="118" ht="14.5" customHeight="1" x14ac:dyDescent="0.55000000000000004"/>
    <row r="119" ht="14.5" customHeight="1" x14ac:dyDescent="0.55000000000000004"/>
    <row r="120" ht="14.5" customHeight="1" x14ac:dyDescent="0.55000000000000004"/>
    <row r="121" ht="14.5" customHeight="1" x14ac:dyDescent="0.55000000000000004"/>
    <row r="122" ht="14.5" customHeight="1" x14ac:dyDescent="0.55000000000000004"/>
    <row r="123" ht="14.5" customHeight="1" x14ac:dyDescent="0.55000000000000004"/>
    <row r="124" ht="14.5" customHeight="1" x14ac:dyDescent="0.55000000000000004"/>
    <row r="125" ht="14.5" customHeight="1" x14ac:dyDescent="0.55000000000000004"/>
    <row r="126" ht="14.5" customHeight="1" x14ac:dyDescent="0.55000000000000004"/>
    <row r="127" ht="14.5" customHeight="1" x14ac:dyDescent="0.55000000000000004"/>
    <row r="128" ht="14.5" customHeight="1" x14ac:dyDescent="0.55000000000000004"/>
    <row r="129" ht="14.5" customHeight="1" x14ac:dyDescent="0.55000000000000004"/>
    <row r="130" ht="14.5" customHeight="1" x14ac:dyDescent="0.55000000000000004"/>
    <row r="131" ht="14.5" customHeight="1" x14ac:dyDescent="0.55000000000000004"/>
    <row r="132" ht="14.5" customHeight="1" x14ac:dyDescent="0.55000000000000004"/>
    <row r="133" ht="14.5" customHeight="1" x14ac:dyDescent="0.55000000000000004"/>
    <row r="134" ht="14.5" customHeight="1" x14ac:dyDescent="0.55000000000000004"/>
    <row r="135" ht="14.5" customHeight="1" x14ac:dyDescent="0.55000000000000004"/>
    <row r="136" ht="14.5" customHeight="1" x14ac:dyDescent="0.55000000000000004"/>
    <row r="137" ht="14.5" customHeight="1" x14ac:dyDescent="0.55000000000000004"/>
    <row r="138" ht="14.5" customHeight="1" x14ac:dyDescent="0.55000000000000004"/>
    <row r="139" ht="14.5" customHeight="1" x14ac:dyDescent="0.55000000000000004"/>
    <row r="140" ht="14.5" customHeight="1" x14ac:dyDescent="0.55000000000000004"/>
    <row r="141" ht="14.5" customHeight="1" x14ac:dyDescent="0.55000000000000004"/>
    <row r="142" ht="14.5" customHeight="1" x14ac:dyDescent="0.55000000000000004"/>
    <row r="143" ht="14.5" customHeight="1" x14ac:dyDescent="0.55000000000000004"/>
    <row r="144" ht="14.5" customHeight="1" x14ac:dyDescent="0.55000000000000004"/>
    <row r="145" ht="14.5" customHeight="1" x14ac:dyDescent="0.55000000000000004"/>
    <row r="146" ht="14.5" customHeight="1" x14ac:dyDescent="0.55000000000000004"/>
    <row r="147" ht="14.5" customHeight="1" x14ac:dyDescent="0.55000000000000004"/>
    <row r="148" ht="14.5" customHeight="1" x14ac:dyDescent="0.55000000000000004"/>
    <row r="149" ht="14.5" customHeight="1" x14ac:dyDescent="0.55000000000000004"/>
    <row r="150" ht="14.5" customHeight="1" x14ac:dyDescent="0.55000000000000004"/>
    <row r="151" ht="14.5" customHeight="1" x14ac:dyDescent="0.55000000000000004"/>
  </sheetData>
  <mergeCells count="16">
    <mergeCell ref="Y21:Y24"/>
    <mergeCell ref="AC11:AF12"/>
    <mergeCell ref="AC16:AF16"/>
    <mergeCell ref="AC17:AC18"/>
    <mergeCell ref="M12:R12"/>
    <mergeCell ref="M10:R10"/>
    <mergeCell ref="J26:M26"/>
    <mergeCell ref="O19:P19"/>
    <mergeCell ref="O20:P20"/>
    <mergeCell ref="O24:P24"/>
    <mergeCell ref="O21:P23"/>
    <mergeCell ref="C9:E9"/>
    <mergeCell ref="C10:E10"/>
    <mergeCell ref="C20:E20"/>
    <mergeCell ref="G10:H10"/>
    <mergeCell ref="F9:I9"/>
  </mergeCells>
  <dataValidations count="12">
    <dataValidation type="whole" allowBlank="1" showInputMessage="1" showErrorMessage="1" errorTitle="Years of experience" error="Please enter years of experience. Round to the nearest year." sqref="O11 J10:L10 G10" xr:uid="{00000000-0002-0000-0000-000000000000}">
      <formula1>0</formula1>
      <formula2>100</formula2>
    </dataValidation>
    <dataValidation type="decimal" allowBlank="1" showInputMessage="1" showErrorMessage="1" errorTitle="Template weight in ng" error="Please input the weight of template added in nanograms." sqref="C22:D22" xr:uid="{00000000-0002-0000-0000-000001000000}">
      <formula1>0</formula1>
      <formula2>5000</formula2>
    </dataValidation>
    <dataValidation type="decimal" allowBlank="1" showInputMessage="1" showErrorMessage="1" promptTitle="Amount of primer #1" prompt="Units may be either in micromolar or nanograms (choose below) Please input the final concentration in the reaction, not the concentration of the primer stock." sqref="T10" xr:uid="{00000000-0002-0000-0000-000002000000}">
      <formula1>0</formula1>
      <formula2>5000</formula2>
    </dataValidation>
    <dataValidation allowBlank="1" showInputMessage="1" showErrorMessage="1" promptTitle="Amount of primer #2" prompt="Units may be either in micromolar or nanograms (choose below)  Please input the final concentration in the reaction, not the concentration of the primer stock." sqref="T12" xr:uid="{00000000-0002-0000-0000-000003000000}"/>
    <dataValidation allowBlank="1" showErrorMessage="1" promptTitle="Amount of primer #2" prompt="Units may be either in micromolar or nanograms (choose below)  Please input the final concentration in the reaction, not the concentration of the primer stock." sqref="AG25" xr:uid="{00000000-0002-0000-0000-000004000000}"/>
    <dataValidation showInputMessage="1" promptTitle="Thermal cycler ID" prompt="There will be a sticker on your PCR machine that has the unique ID to use for this field (i.e. Sawyer1, Palmer3)" sqref="N14" xr:uid="{00000000-0002-0000-0000-000005000000}"/>
    <dataValidation type="custom" showInputMessage="1" showErrorMessage="1" errorTitle="Email address mismatch" error="Please enter a valid email address." sqref="C10:E10" xr:uid="{00000000-0002-0000-0000-000006000000}">
      <formula1>ISNUMBER(MATCH("*@*.???",C10,0))</formula1>
    </dataValidation>
    <dataValidation showInputMessage="1" showErrorMessage="1" errorTitle="Email address mismatch" error="Please enter a valid email address." sqref="F9" xr:uid="{00000000-0002-0000-0000-000007000000}"/>
    <dataValidation type="whole" errorStyle="warning" allowBlank="1" showInputMessage="1" showErrorMessage="1" errorTitle="Please input time in seconds" error="If you're cycling time is greater than 60 seconds, please input your time in minutes and seconds." sqref="L20:L24" xr:uid="{00000000-0002-0000-0000-000008000000}">
      <formula1>0</formula1>
      <formula2>60</formula2>
    </dataValidation>
    <dataValidation type="whole" operator="greaterThanOrEqual" allowBlank="1" showInputMessage="1" showErrorMessage="1" errorTitle="Please input a positive number" error="Please input minutes as a positive whole number." sqref="J20:J24" xr:uid="{00000000-0002-0000-0000-000009000000}">
      <formula1>0</formula1>
    </dataValidation>
    <dataValidation type="textLength" operator="greaterThan" allowBlank="1" showInputMessage="1" showErrorMessage="1" promptTitle="Paste primer sequence" prompt="Paste in your primer sequence. Include sticky ends and tags." sqref="M10:R10 M12:R12" xr:uid="{00000000-0002-0000-0000-00000A000000}">
      <formula1>0</formula1>
    </dataValidation>
    <dataValidation allowBlank="1" sqref="AE5:AE7" xr:uid="{00000000-0002-0000-0000-00000B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3</xdr:col>
                    <xdr:colOff>582930</xdr:colOff>
                    <xdr:row>21</xdr:row>
                    <xdr:rowOff>76200</xdr:rowOff>
                  </from>
                  <to>
                    <xdr:col>4</xdr:col>
                    <xdr:colOff>457200</xdr:colOff>
                    <xdr:row>22</xdr:row>
                    <xdr:rowOff>64770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582930</xdr:colOff>
                    <xdr:row>22</xdr:row>
                    <xdr:rowOff>38100</xdr:rowOff>
                  </from>
                  <to>
                    <xdr:col>4</xdr:col>
                    <xdr:colOff>457200</xdr:colOff>
                    <xdr:row>23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3</xdr:col>
                    <xdr:colOff>495300</xdr:colOff>
                    <xdr:row>20</xdr:row>
                    <xdr:rowOff>102870</xdr:rowOff>
                  </from>
                  <to>
                    <xdr:col>5</xdr:col>
                    <xdr:colOff>102870</xdr:colOff>
                    <xdr:row>25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3</xdr:col>
                    <xdr:colOff>571500</xdr:colOff>
                    <xdr:row>23</xdr:row>
                    <xdr:rowOff>38100</xdr:rowOff>
                  </from>
                  <to>
                    <xdr:col>4</xdr:col>
                    <xdr:colOff>521970</xdr:colOff>
                    <xdr:row>24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582930</xdr:colOff>
                    <xdr:row>23</xdr:row>
                    <xdr:rowOff>179070</xdr:rowOff>
                  </from>
                  <to>
                    <xdr:col>4</xdr:col>
                    <xdr:colOff>571500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Spinner 10">
              <controlPr defaultSize="0" autoPict="0">
                <anchor moveWithCells="1" sizeWithCells="1">
                  <from>
                    <xdr:col>20</xdr:col>
                    <xdr:colOff>11430</xdr:colOff>
                    <xdr:row>8</xdr:row>
                    <xdr:rowOff>179070</xdr:rowOff>
                  </from>
                  <to>
                    <xdr:col>20</xdr:col>
                    <xdr:colOff>179070</xdr:colOff>
                    <xdr:row>9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Group Box 11">
              <controlPr defaultSize="0" autoFill="0" autoPict="0">
                <anchor moveWithCells="1">
                  <from>
                    <xdr:col>20</xdr:col>
                    <xdr:colOff>228600</xdr:colOff>
                    <xdr:row>8</xdr:row>
                    <xdr:rowOff>152400</xdr:rowOff>
                  </from>
                  <to>
                    <xdr:col>21</xdr:col>
                    <xdr:colOff>114300</xdr:colOff>
                    <xdr:row>11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Option Button 12">
              <controlPr defaultSize="0" autoFill="0" autoLine="0" autoPict="0">
                <anchor moveWithCells="1">
                  <from>
                    <xdr:col>20</xdr:col>
                    <xdr:colOff>293370</xdr:colOff>
                    <xdr:row>10</xdr:row>
                    <xdr:rowOff>64770</xdr:rowOff>
                  </from>
                  <to>
                    <xdr:col>21</xdr:col>
                    <xdr:colOff>49530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Option Button 13">
              <controlPr defaultSize="0" autoFill="0" autoLine="0" autoPict="0">
                <anchor moveWithCells="1">
                  <from>
                    <xdr:col>20</xdr:col>
                    <xdr:colOff>293370</xdr:colOff>
                    <xdr:row>9</xdr:row>
                    <xdr:rowOff>102870</xdr:rowOff>
                  </from>
                  <to>
                    <xdr:col>21</xdr:col>
                    <xdr:colOff>87630</xdr:colOff>
                    <xdr:row>10</xdr:row>
                    <xdr:rowOff>140970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Spinner 16">
              <controlPr defaultSize="0" autoPict="0">
                <anchor moveWithCells="1" sizeWithCells="1">
                  <from>
                    <xdr:col>20</xdr:col>
                    <xdr:colOff>11430</xdr:colOff>
                    <xdr:row>11</xdr:row>
                    <xdr:rowOff>0</xdr:rowOff>
                  </from>
                  <to>
                    <xdr:col>20</xdr:col>
                    <xdr:colOff>190500</xdr:colOff>
                    <xdr:row>12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Label 17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26670</xdr:colOff>
                    <xdr:row>29</xdr:row>
                    <xdr:rowOff>125730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Spinner 22">
              <controlPr defaultSize="0" autoPict="0">
                <anchor moveWithCells="1" sizeWithCells="1">
                  <from>
                    <xdr:col>8</xdr:col>
                    <xdr:colOff>11430</xdr:colOff>
                    <xdr:row>9</xdr:row>
                    <xdr:rowOff>0</xdr:rowOff>
                  </from>
                  <to>
                    <xdr:col>8</xdr:col>
                    <xdr:colOff>179070</xdr:colOff>
                    <xdr:row>10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Group Box 23">
              <controlPr defaultSize="0" autoFill="0" autoPict="0">
                <anchor moveWithCells="1">
                  <from>
                    <xdr:col>1</xdr:col>
                    <xdr:colOff>152400</xdr:colOff>
                    <xdr:row>10</xdr:row>
                    <xdr:rowOff>76200</xdr:rowOff>
                  </from>
                  <to>
                    <xdr:col>9</xdr:col>
                    <xdr:colOff>38100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7" name="Option Button 31">
              <controlPr defaultSize="0" autoFill="0" autoLine="0" autoPict="0">
                <anchor moveWithCells="1">
                  <from>
                    <xdr:col>2</xdr:col>
                    <xdr:colOff>76200</xdr:colOff>
                    <xdr:row>11</xdr:row>
                    <xdr:rowOff>26670</xdr:rowOff>
                  </from>
                  <to>
                    <xdr:col>3</xdr:col>
                    <xdr:colOff>64770</xdr:colOff>
                    <xdr:row>12</xdr:row>
                    <xdr:rowOff>64770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8" name="Option Button 32">
              <controlPr defaultSize="0" autoFill="0" autoLine="0" autoPict="0" macro="[0]!nonstandard_pcr">
                <anchor moveWithCells="1">
                  <from>
                    <xdr:col>3</xdr:col>
                    <xdr:colOff>76200</xdr:colOff>
                    <xdr:row>11</xdr:row>
                    <xdr:rowOff>64770</xdr:rowOff>
                  </from>
                  <to>
                    <xdr:col>4</xdr:col>
                    <xdr:colOff>76200</xdr:colOff>
                    <xdr:row>12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9" name="Option Button 33">
              <controlPr defaultSize="0" autoFill="0" autoLine="0" autoPict="0" macro="[0]!nonstandard_pcr">
                <anchor moveWithCells="1">
                  <from>
                    <xdr:col>3</xdr:col>
                    <xdr:colOff>76200</xdr:colOff>
                    <xdr:row>10</xdr:row>
                    <xdr:rowOff>76200</xdr:rowOff>
                  </from>
                  <to>
                    <xdr:col>4</xdr:col>
                    <xdr:colOff>190500</xdr:colOff>
                    <xdr:row>11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0" name="Option Button 34">
              <controlPr defaultSize="0" autoFill="0" autoLine="0" autoPict="0" macro="[0]!nonstandard_pcr">
                <anchor moveWithCells="1">
                  <from>
                    <xdr:col>4</xdr:col>
                    <xdr:colOff>201930</xdr:colOff>
                    <xdr:row>10</xdr:row>
                    <xdr:rowOff>87630</xdr:rowOff>
                  </from>
                  <to>
                    <xdr:col>6</xdr:col>
                    <xdr:colOff>152400</xdr:colOff>
                    <xdr:row>11</xdr:row>
                    <xdr:rowOff>125730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1" name="Option Button 35">
              <controlPr defaultSize="0" autoFill="0" autoLine="0" autoPict="0" macro="[0]!nonstandard_pcr">
                <anchor moveWithCells="1">
                  <from>
                    <xdr:col>6</xdr:col>
                    <xdr:colOff>125730</xdr:colOff>
                    <xdr:row>10</xdr:row>
                    <xdr:rowOff>102870</xdr:rowOff>
                  </from>
                  <to>
                    <xdr:col>8</xdr:col>
                    <xdr:colOff>430530</xdr:colOff>
                    <xdr:row>11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2" name="Option Button 37">
              <controlPr defaultSize="0" autoFill="0" autoLine="0" autoPict="0" macro="[0]!nonstandard_pcr">
                <anchor moveWithCells="1">
                  <from>
                    <xdr:col>6</xdr:col>
                    <xdr:colOff>125730</xdr:colOff>
                    <xdr:row>11</xdr:row>
                    <xdr:rowOff>49530</xdr:rowOff>
                  </from>
                  <to>
                    <xdr:col>8</xdr:col>
                    <xdr:colOff>369570</xdr:colOff>
                    <xdr:row>12</xdr:row>
                    <xdr:rowOff>64770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Group Box 42">
              <controlPr defaultSize="0" autoFill="0" autoPict="0">
                <anchor moveWithCells="1">
                  <from>
                    <xdr:col>2</xdr:col>
                    <xdr:colOff>11430</xdr:colOff>
                    <xdr:row>24</xdr:row>
                    <xdr:rowOff>64770</xdr:rowOff>
                  </from>
                  <to>
                    <xdr:col>3</xdr:col>
                    <xdr:colOff>369570</xdr:colOff>
                    <xdr:row>25</xdr:row>
                    <xdr:rowOff>140970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Option Button 43">
              <controlPr defaultSize="0" autoFill="0" autoLine="0" autoPict="0">
                <anchor moveWithCells="1">
                  <from>
                    <xdr:col>2</xdr:col>
                    <xdr:colOff>87630</xdr:colOff>
                    <xdr:row>24</xdr:row>
                    <xdr:rowOff>125730</xdr:rowOff>
                  </from>
                  <to>
                    <xdr:col>2</xdr:col>
                    <xdr:colOff>582930</xdr:colOff>
                    <xdr:row>25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Option Button 44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140970</xdr:rowOff>
                  </from>
                  <to>
                    <xdr:col>3</xdr:col>
                    <xdr:colOff>457200</xdr:colOff>
                    <xdr:row>25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Check Box 47">
              <controlPr defaultSize="0" autoFill="0" autoLine="0" autoPict="0">
                <anchor moveWithCells="1">
                  <from>
                    <xdr:col>19</xdr:col>
                    <xdr:colOff>102870</xdr:colOff>
                    <xdr:row>19</xdr:row>
                    <xdr:rowOff>179070</xdr:rowOff>
                  </from>
                  <to>
                    <xdr:col>24</xdr:col>
                    <xdr:colOff>76200</xdr:colOff>
                    <xdr:row>21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Check Box 48">
              <controlPr defaultSize="0" autoFill="0" autoLine="0" autoPict="0">
                <anchor moveWithCells="1">
                  <from>
                    <xdr:col>19</xdr:col>
                    <xdr:colOff>102870</xdr:colOff>
                    <xdr:row>20</xdr:row>
                    <xdr:rowOff>179070</xdr:rowOff>
                  </from>
                  <to>
                    <xdr:col>23</xdr:col>
                    <xdr:colOff>114300</xdr:colOff>
                    <xdr:row>22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19</xdr:col>
                    <xdr:colOff>102870</xdr:colOff>
                    <xdr:row>21</xdr:row>
                    <xdr:rowOff>179070</xdr:rowOff>
                  </from>
                  <to>
                    <xdr:col>20</xdr:col>
                    <xdr:colOff>293370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Button 50">
              <controlPr defaultSize="0" print="0" autoFill="0" autoPict="0" macro="[0]!submit">
                <anchor moveWithCells="1">
                  <from>
                    <xdr:col>19</xdr:col>
                    <xdr:colOff>114300</xdr:colOff>
                    <xdr:row>23</xdr:row>
                    <xdr:rowOff>76200</xdr:rowOff>
                  </from>
                  <to>
                    <xdr:col>20</xdr:col>
                    <xdr:colOff>87630</xdr:colOff>
                    <xdr:row>24</xdr:row>
                    <xdr:rowOff>125730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Button 51">
              <controlPr defaultSize="0" print="0" autoFill="0" autoPict="0" macro="[0]!_xludf.clear">
                <anchor moveWithCells="1">
                  <from>
                    <xdr:col>20</xdr:col>
                    <xdr:colOff>163830</xdr:colOff>
                    <xdr:row>23</xdr:row>
                    <xdr:rowOff>76200</xdr:rowOff>
                  </from>
                  <to>
                    <xdr:col>21</xdr:col>
                    <xdr:colOff>140970</xdr:colOff>
                    <xdr:row>24</xdr:row>
                    <xdr:rowOff>125730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1" name="Option Button 55">
              <controlPr defaultSize="0" autoFill="0" autoLine="0" autoPict="0" macro="[0]!nonstandard_pcr">
                <anchor moveWithCells="1">
                  <from>
                    <xdr:col>4</xdr:col>
                    <xdr:colOff>201930</xdr:colOff>
                    <xdr:row>11</xdr:row>
                    <xdr:rowOff>64770</xdr:rowOff>
                  </from>
                  <to>
                    <xdr:col>6</xdr:col>
                    <xdr:colOff>38100</xdr:colOff>
                    <xdr:row>12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2" name="Check Box 58">
              <controlPr defaultSize="0" autoFill="0" autoLine="0" autoPict="0">
                <anchor moveWithCells="1">
                  <from>
                    <xdr:col>29</xdr:col>
                    <xdr:colOff>228600</xdr:colOff>
                    <xdr:row>15</xdr:row>
                    <xdr:rowOff>125730</xdr:rowOff>
                  </from>
                  <to>
                    <xdr:col>31</xdr:col>
                    <xdr:colOff>468630</xdr:colOff>
                    <xdr:row>18</xdr:row>
                    <xdr:rowOff>140970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00000000-0002-0000-0000-00000C000000}">
          <x14:formula1>
            <xm:f>validation!$B$4:$B$6</xm:f>
          </x14:formula1>
          <xm:sqref>C20:E20</xm:sqref>
        </x14:dataValidation>
        <x14:dataValidation type="list" showInputMessage="1" promptTitle="Thermal cycler ID" prompt="There will be a sticker on your PCR machine that has the unique ID to use for this field (i.e. Sawyer1, Palmer3)" xr:uid="{00000000-0002-0000-0000-00000D000000}">
          <x14:formula1>
            <xm:f>validation!$K$3:$K$10</xm:f>
          </x14:formula1>
          <xm:sqref>J26:J27</xm:sqref>
        </x14:dataValidation>
        <x14:dataValidation type="list" allowBlank="1" showInputMessage="1" xr:uid="{00000000-0002-0000-0000-00000E000000}">
          <x14:formula1>
            <xm:f>validation!$G$3:$G$7</xm:f>
          </x14:formula1>
          <xm:sqref>Y10</xm:sqref>
        </x14:dataValidation>
        <x14:dataValidation type="list" allowBlank="1" showInputMessage="1" xr:uid="{00000000-0002-0000-0000-00000F000000}">
          <x14:formula1>
            <xm:f>validation!$H$3:$H$7</xm:f>
          </x14:formula1>
          <xm:sqref>Y12</xm:sqref>
        </x14:dataValidation>
        <x14:dataValidation type="list" allowBlank="1" showInputMessage="1" xr:uid="{00000000-0002-0000-0000-000010000000}">
          <x14:formula1>
            <xm:f>validation!$I$3:$I$7</xm:f>
          </x14:formula1>
          <xm:sqref>AC10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X18"/>
  <sheetViews>
    <sheetView topLeftCell="J1" workbookViewId="0">
      <selection activeCell="T13" sqref="T13"/>
    </sheetView>
  </sheetViews>
  <sheetFormatPr defaultColWidth="8.7890625" defaultRowHeight="15" customHeight="1" x14ac:dyDescent="0.55000000000000004"/>
  <cols>
    <col min="7" max="7" width="56.47265625" bestFit="1" customWidth="1"/>
    <col min="8" max="8" width="18.15625" customWidth="1"/>
    <col min="9" max="9" width="24.47265625" customWidth="1"/>
  </cols>
  <sheetData>
    <row r="1" spans="2:24" ht="15" customHeight="1" x14ac:dyDescent="0.55000000000000004">
      <c r="G1" s="1"/>
      <c r="H1" s="1"/>
      <c r="I1" s="1"/>
    </row>
    <row r="2" spans="2:24" ht="15" customHeight="1" x14ac:dyDescent="0.55000000000000004">
      <c r="E2" t="s">
        <v>20</v>
      </c>
      <c r="G2" s="1" t="s">
        <v>87</v>
      </c>
      <c r="H2" s="1" t="s">
        <v>88</v>
      </c>
      <c r="I2" s="1" t="s">
        <v>89</v>
      </c>
      <c r="K2" t="s">
        <v>25</v>
      </c>
      <c r="N2" t="s">
        <v>1</v>
      </c>
      <c r="Q2" t="s">
        <v>2</v>
      </c>
      <c r="T2" t="s">
        <v>3</v>
      </c>
      <c r="V2" t="s">
        <v>14</v>
      </c>
    </row>
    <row r="3" spans="2:24" ht="15" customHeight="1" x14ac:dyDescent="0.55000000000000004">
      <c r="B3" t="s">
        <v>18</v>
      </c>
      <c r="E3">
        <v>21</v>
      </c>
      <c r="G3" s="2" t="s">
        <v>95</v>
      </c>
      <c r="H3" s="2" t="s">
        <v>94</v>
      </c>
      <c r="I3" s="2">
        <v>12532016</v>
      </c>
      <c r="K3" t="s">
        <v>26</v>
      </c>
      <c r="M3">
        <v>1</v>
      </c>
      <c r="N3" t="s">
        <v>4</v>
      </c>
      <c r="P3">
        <v>1</v>
      </c>
      <c r="Q3" t="s">
        <v>5</v>
      </c>
      <c r="S3">
        <v>1</v>
      </c>
      <c r="T3" t="s">
        <v>42</v>
      </c>
      <c r="V3" t="b">
        <v>0</v>
      </c>
    </row>
    <row r="4" spans="2:24" ht="15" customHeight="1" x14ac:dyDescent="0.55000000000000004">
      <c r="B4" s="3" t="s">
        <v>16</v>
      </c>
      <c r="G4" s="2" t="s">
        <v>97</v>
      </c>
      <c r="H4" s="2" t="s">
        <v>96</v>
      </c>
      <c r="I4" s="2" t="s">
        <v>90</v>
      </c>
      <c r="K4" t="s">
        <v>9</v>
      </c>
      <c r="M4">
        <v>2</v>
      </c>
      <c r="N4" t="s">
        <v>13</v>
      </c>
      <c r="P4">
        <v>2</v>
      </c>
      <c r="Q4" t="s">
        <v>39</v>
      </c>
      <c r="S4">
        <v>2</v>
      </c>
      <c r="T4" t="s">
        <v>43</v>
      </c>
    </row>
    <row r="5" spans="2:24" ht="15" customHeight="1" thickBot="1" x14ac:dyDescent="0.6">
      <c r="B5" s="3" t="s">
        <v>17</v>
      </c>
      <c r="G5" s="2" t="s">
        <v>98</v>
      </c>
      <c r="H5" s="2" t="s">
        <v>99</v>
      </c>
      <c r="I5" s="2" t="s">
        <v>91</v>
      </c>
      <c r="K5" t="s">
        <v>27</v>
      </c>
      <c r="M5">
        <v>3</v>
      </c>
      <c r="N5" t="s">
        <v>15</v>
      </c>
      <c r="V5" t="s">
        <v>7</v>
      </c>
    </row>
    <row r="6" spans="2:24" ht="15" customHeight="1" thickBot="1" x14ac:dyDescent="0.6">
      <c r="B6" s="4" t="s">
        <v>12</v>
      </c>
      <c r="G6" s="2" t="s">
        <v>100</v>
      </c>
      <c r="H6" s="2" t="s">
        <v>96</v>
      </c>
      <c r="I6" s="2" t="s">
        <v>92</v>
      </c>
      <c r="K6" t="s">
        <v>28</v>
      </c>
      <c r="M6">
        <v>4</v>
      </c>
      <c r="N6" t="s">
        <v>8</v>
      </c>
      <c r="V6" t="b">
        <v>1</v>
      </c>
    </row>
    <row r="7" spans="2:24" ht="15" customHeight="1" x14ac:dyDescent="0.55000000000000004">
      <c r="B7" s="3"/>
      <c r="G7" s="2" t="s">
        <v>101</v>
      </c>
      <c r="H7" s="2" t="s">
        <v>96</v>
      </c>
      <c r="I7" s="2" t="s">
        <v>93</v>
      </c>
      <c r="K7" t="s">
        <v>10</v>
      </c>
    </row>
    <row r="8" spans="2:24" ht="15" customHeight="1" x14ac:dyDescent="0.55000000000000004">
      <c r="B8" s="3"/>
      <c r="K8" t="s">
        <v>29</v>
      </c>
      <c r="N8" t="s">
        <v>37</v>
      </c>
      <c r="Q8" t="s">
        <v>40</v>
      </c>
      <c r="T8" t="s">
        <v>44</v>
      </c>
      <c r="V8" t="s">
        <v>6</v>
      </c>
      <c r="X8" t="s">
        <v>124</v>
      </c>
    </row>
    <row r="9" spans="2:24" ht="15" customHeight="1" x14ac:dyDescent="0.55000000000000004">
      <c r="B9" s="3"/>
      <c r="K9" t="s">
        <v>30</v>
      </c>
      <c r="N9">
        <v>1</v>
      </c>
      <c r="Q9">
        <v>2</v>
      </c>
      <c r="T9">
        <v>1</v>
      </c>
      <c r="V9" t="b">
        <v>0</v>
      </c>
      <c r="X9" t="b">
        <v>0</v>
      </c>
    </row>
    <row r="10" spans="2:24" ht="15" customHeight="1" x14ac:dyDescent="0.55000000000000004">
      <c r="B10" s="3"/>
      <c r="K10" t="s">
        <v>11</v>
      </c>
    </row>
    <row r="11" spans="2:24" ht="15" customHeight="1" x14ac:dyDescent="0.55000000000000004">
      <c r="B11" s="3"/>
      <c r="N11" t="s">
        <v>38</v>
      </c>
      <c r="Q11" t="s">
        <v>41</v>
      </c>
      <c r="T11" t="s">
        <v>45</v>
      </c>
    </row>
    <row r="12" spans="2:24" ht="15" customHeight="1" x14ac:dyDescent="0.55000000000000004">
      <c r="B12" s="3"/>
      <c r="N12" t="str">
        <f>VLOOKUP(N9,M3:N6,2,FALSE)</f>
        <v>cDNA</v>
      </c>
      <c r="Q12" t="str">
        <f>VLOOKUP(validation!Q9,validation!P3:Q4,2,FALSE)</f>
        <v>μg</v>
      </c>
      <c r="T12" t="str">
        <f>VLOOKUP(T9,S3:T4,2,FALSE)</f>
        <v>bp</v>
      </c>
    </row>
    <row r="13" spans="2:24" ht="15" customHeight="1" x14ac:dyDescent="0.55000000000000004">
      <c r="B13" s="3"/>
    </row>
    <row r="14" spans="2:24" ht="15" customHeight="1" x14ac:dyDescent="0.55000000000000004">
      <c r="B14" s="3"/>
    </row>
    <row r="15" spans="2:24" ht="15" customHeight="1" x14ac:dyDescent="0.55000000000000004">
      <c r="B15" s="3"/>
    </row>
    <row r="16" spans="2:24" ht="15" customHeight="1" x14ac:dyDescent="0.55000000000000004">
      <c r="B16" s="3"/>
    </row>
    <row r="17" spans="2:2" ht="15" customHeight="1" x14ac:dyDescent="0.55000000000000004">
      <c r="B17" s="3"/>
    </row>
    <row r="18" spans="2:2" ht="15" customHeight="1" x14ac:dyDescent="0.55000000000000004">
      <c r="B18" s="3"/>
    </row>
  </sheetData>
  <dataValidations count="1">
    <dataValidation operator="equal" showInputMessage="1" showErrorMessage="1" errorTitle="Standard PCR only" error="Please input standard PCR only in this form. Due to the complexity of PCR and the many variants, we are studying only standard PCR at this stage." sqref="E3" xr:uid="{00000000-0002-0000-0100-000000000000}"/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P17"/>
  <sheetViews>
    <sheetView tabSelected="1" topLeftCell="L1" workbookViewId="0">
      <selection activeCell="AC1" sqref="AC1"/>
    </sheetView>
  </sheetViews>
  <sheetFormatPr defaultColWidth="8.7890625" defaultRowHeight="14.4" x14ac:dyDescent="0.55000000000000004"/>
  <cols>
    <col min="1" max="1" width="18.15625" bestFit="1" customWidth="1"/>
    <col min="11" max="11" width="8.7890625" style="9" bestFit="1" customWidth="1"/>
    <col min="13" max="14" width="8.7890625" style="9"/>
    <col min="15" max="15" width="9.7890625" style="5" bestFit="1" customWidth="1"/>
    <col min="16" max="16" width="8.7890625" style="9"/>
    <col min="17" max="17" width="9.7890625" style="5" bestFit="1" customWidth="1"/>
    <col min="18" max="18" width="8.7890625" style="9"/>
    <col min="19" max="19" width="9.7890625" style="5" bestFit="1" customWidth="1"/>
    <col min="21" max="21" width="8.7890625" style="9"/>
  </cols>
  <sheetData>
    <row r="1" spans="1:42" x14ac:dyDescent="0.55000000000000004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113</v>
      </c>
      <c r="J1" t="s">
        <v>65</v>
      </c>
      <c r="K1" s="9" t="s">
        <v>103</v>
      </c>
      <c r="L1" t="s">
        <v>66</v>
      </c>
      <c r="M1" s="7" t="s">
        <v>67</v>
      </c>
      <c r="N1" s="9" t="s">
        <v>104</v>
      </c>
      <c r="O1" s="5" t="s">
        <v>68</v>
      </c>
      <c r="P1" s="9" t="s">
        <v>105</v>
      </c>
      <c r="Q1" s="5" t="s">
        <v>69</v>
      </c>
      <c r="R1" s="9" t="s">
        <v>106</v>
      </c>
      <c r="S1" s="5" t="s">
        <v>70</v>
      </c>
      <c r="T1" s="8" t="s">
        <v>71</v>
      </c>
      <c r="U1" s="9" t="s">
        <v>107</v>
      </c>
      <c r="V1" s="8" t="s">
        <v>72</v>
      </c>
      <c r="W1" s="8" t="s">
        <v>73</v>
      </c>
      <c r="X1" s="8" t="s">
        <v>74</v>
      </c>
      <c r="Y1" s="8" t="s">
        <v>75</v>
      </c>
      <c r="Z1" s="8" t="s">
        <v>108</v>
      </c>
      <c r="AA1" s="9" t="s">
        <v>110</v>
      </c>
      <c r="AB1" s="9" t="s">
        <v>111</v>
      </c>
      <c r="AC1" s="9" t="s">
        <v>130</v>
      </c>
      <c r="AD1" s="8" t="s">
        <v>109</v>
      </c>
      <c r="AE1" s="9" t="s">
        <v>112</v>
      </c>
      <c r="AF1" s="9" t="s">
        <v>114</v>
      </c>
      <c r="AG1" s="8" t="s">
        <v>76</v>
      </c>
      <c r="AH1" s="8" t="s">
        <v>77</v>
      </c>
      <c r="AI1" s="8" t="s">
        <v>78</v>
      </c>
      <c r="AJ1" s="8" t="s">
        <v>79</v>
      </c>
      <c r="AK1" s="8" t="s">
        <v>80</v>
      </c>
      <c r="AL1" s="8" t="s">
        <v>81</v>
      </c>
      <c r="AM1" s="8" t="s">
        <v>125</v>
      </c>
      <c r="AN1" s="9" t="s">
        <v>120</v>
      </c>
      <c r="AO1" s="9" t="s">
        <v>119</v>
      </c>
      <c r="AP1" s="9" t="s">
        <v>121</v>
      </c>
    </row>
    <row r="2" spans="1:42" x14ac:dyDescent="0.55000000000000004">
      <c r="A2" s="6"/>
    </row>
    <row r="3" spans="1:42" x14ac:dyDescent="0.55000000000000004">
      <c r="A3" s="6"/>
    </row>
    <row r="4" spans="1:42" x14ac:dyDescent="0.55000000000000004">
      <c r="A4" s="6"/>
    </row>
    <row r="5" spans="1:42" x14ac:dyDescent="0.55000000000000004">
      <c r="A5" s="6"/>
    </row>
    <row r="6" spans="1:42" x14ac:dyDescent="0.55000000000000004">
      <c r="A6" s="6"/>
    </row>
    <row r="7" spans="1:42" x14ac:dyDescent="0.55000000000000004">
      <c r="A7" s="6"/>
    </row>
    <row r="8" spans="1:42" x14ac:dyDescent="0.55000000000000004">
      <c r="A8" s="6"/>
    </row>
    <row r="9" spans="1:42" x14ac:dyDescent="0.55000000000000004">
      <c r="A9" s="6"/>
    </row>
    <row r="10" spans="1:42" x14ac:dyDescent="0.55000000000000004">
      <c r="A10" s="6"/>
    </row>
    <row r="11" spans="1:42" x14ac:dyDescent="0.55000000000000004">
      <c r="A11" s="6"/>
    </row>
    <row r="12" spans="1:42" x14ac:dyDescent="0.55000000000000004">
      <c r="A12" s="6"/>
    </row>
    <row r="13" spans="1:42" x14ac:dyDescent="0.55000000000000004">
      <c r="A13" s="6"/>
    </row>
    <row r="14" spans="1:42" x14ac:dyDescent="0.55000000000000004">
      <c r="A14" s="6"/>
    </row>
    <row r="15" spans="1:42" x14ac:dyDescent="0.55000000000000004">
      <c r="A15" s="6"/>
    </row>
    <row r="16" spans="1:42" x14ac:dyDescent="0.55000000000000004">
      <c r="A16" s="6"/>
    </row>
    <row r="17" spans="1:1" x14ac:dyDescent="0.55000000000000004">
      <c r="A17" s="6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validation</vt:lpstr>
      <vt:lpstr>collected_data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Smallegan</dc:creator>
  <cp:lastModifiedBy>Nicholas Cordaro</cp:lastModifiedBy>
  <dcterms:created xsi:type="dcterms:W3CDTF">2017-09-13T22:04:04Z</dcterms:created>
  <dcterms:modified xsi:type="dcterms:W3CDTF">2019-09-09T20:36:57Z</dcterms:modified>
</cp:coreProperties>
</file>